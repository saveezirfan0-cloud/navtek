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bin" ContentType="application/vnd.openxmlformats-officedocument.spreadsheetml.printerSettings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Default Extension="wdp" ContentType="image/vnd.ms-photo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x15="http://schemas.microsoft.com/office/spreadsheetml/2010/11/main" xmlns:mc="http://schemas.openxmlformats.org/markup-compatibility/2006" xmlns:xr2="http://schemas.microsoft.com/office/spreadsheetml/2015/revision2" xmlns:xr6="http://schemas.microsoft.com/office/spreadsheetml/2016/revision6" xmlns:xr="http://schemas.microsoft.com/office/spreadsheetml/2014/revision" xmlns:xr10="http://schemas.microsoft.com/office/spreadsheetml/2016/revision10" mc:Ignorable="x15 xr xr6 xr10 xr2">
  <fileVersion appName="xl" lastEdited="7" lowestEdited="6" rupBuild="27328"/>
  <workbookPr updateLinks="never" codeName="ThisWorkbook"/>
  <bookViews>
    <workbookView xWindow="56130" yWindow="2460" windowWidth="38700" windowHeight="15435" tabRatio="904" firstSheet="1" activeTab="1"/>
  </bookViews>
  <sheets>
    <sheet name="General Info INT" sheetId="37" state="veryHidden" r:id="rId2"/>
    <sheet name="General Information" sheetId="29" r:id="rId3"/>
    <sheet name="Renewal - Recontract" sheetId="38" state="veryHidden" r:id="rId4"/>
    <sheet name="Billing, Order &amp; SIM INT" sheetId="33" state="veryHidden" r:id="rId5"/>
    <sheet name="MIGRATE TO TN360" sheetId="45" r:id="rId6"/>
    <sheet name="Billing, Order &amp; SIM Activation" sheetId="14" r:id="rId7"/>
    <sheet name="GPIO" sheetId="47" r:id="rId8"/>
    <sheet name="OBM Scale Provider" sheetId="52" r:id="rId9"/>
    <sheet name="Delivery &amp; Install Details" sheetId="4" r:id="rId10"/>
    <sheet name="Multi Delivery&amp;Install Details" sheetId="51" r:id="rId11"/>
    <sheet name="Fleet Information" sheetId="30" r:id="rId12"/>
    <sheet name="Customer Login Details" sheetId="42" r:id="rId13"/>
    <sheet name="Onboarding Fleet" sheetId="48" r:id="rId14"/>
    <sheet name="Onboarding Vehicles" sheetId="49" r:id="rId15"/>
    <sheet name="Renewal Transfer" sheetId="50" r:id="rId16"/>
  </sheets>
  <externalReferences>
    <externalReference r:id="rId22"/>
    <externalReference r:id="rId23"/>
    <externalReference r:id="rId24"/>
  </externalReferences>
  <definedNames>
    <definedName name="answer" localSheetId="11">#REF!</definedName>
    <definedName name="answer">#REF!</definedName>
    <definedName name="IndustryCode" localSheetId="14">#REF!</definedName>
    <definedName name="IndustryCode">#REF!</definedName>
    <definedName name="no_yes">'[1]Billing &amp; Order Details'!$B$108:$B$109</definedName>
    <definedName name="_xlnm.Print_Area" localSheetId="11">'Customer Login Details'!$A$1:$E$38</definedName>
    <definedName name="_xlnm.Print_Area" localSheetId="8">'Delivery &amp; Install Details'!$A$1:$H$31</definedName>
    <definedName name="_xlnm.Print_Area" localSheetId="10">'Fleet Information'!$A$1:$J$200</definedName>
    <definedName name="_xlnm.Print_Area" localSheetId="0">'General Info INT'!$A$1:$E$60</definedName>
    <definedName name="_xlnm.Print_Area" localSheetId="1">'General Information'!$A$1:$E$56</definedName>
    <definedName name="_xlnm.Print_Area" localSheetId="9">'Multi Delivery&amp;Install Details'!$A$1:$F$32</definedName>
    <definedName name="sic" localSheetId="11">'[2]Picklist'!$A$2:$A$92</definedName>
    <definedName name="sic" localSheetId="14">#REF!</definedName>
    <definedName name="sic">#REF!</definedName>
    <definedName name="yes_no" localSheetId="11">'[2]Billing &amp; Order Details'!$B$108:$B$109</definedName>
    <definedName name="yes_no">#REF!</definedName>
    <definedName name="Z_F83E6C32_9CA9_4D68_A458_D85A3BE4E196_.wvu.Cols" localSheetId="8" hidden="1">#REF!</definedName>
    <definedName name="Z_F83E6C32_9CA9_4D68_A458_D85A3BE4E196_.wvu.Cols" localSheetId="9" hidden="1">#REF!</definedName>
    <definedName name="Z_F83E6C32_9CA9_4D68_A458_D85A3BE4E196_.wvu.PrintArea" localSheetId="8" hidden="1">'Delivery &amp; Install Details'!$A$8:$J$30</definedName>
    <definedName name="Z_F83E6C32_9CA9_4D68_A458_D85A3BE4E196_.wvu.PrintArea" localSheetId="9" hidden="1">'Multi Delivery&amp;Install Details'!$A$8:$F$8</definedName>
  </definedNames>
  <calcPr fullCalcOnLoad="1"/>
  <customWorkbookViews>
    <customWorkbookView name="Peter Smith - Personal View" guid="{f83e6c32-9ca9-4d68-a458-d85a3be4e196}" activeSheetId="5" xWindow="240" yWindow="120" windowWidth="1020" windowHeight="627" mergeInterval="0" personalView="1" maximized="1" tabRatio="510"/>
  </customWorkbookViews>
  <extLst/>
</workbook>
</file>

<file path=xl/comments4.xml><?xml version="1.0" encoding="utf-8"?>
<comments xmlns="http://schemas.openxmlformats.org/spreadsheetml/2006/main">
  <authors>
    <author>Hashila Gordon</author>
  </authors>
  <commentList>
    <comment ref="B127" authorId="0">
      <text>
        <r>
          <rPr>
            <sz val="12"/>
            <rFont val="Tahoma"/>
            <family val="2"/>
          </rPr>
          <t xml:space="preserve">If a Customer changes their mind on a purchase within 90 days of the sale </t>
        </r>
        <r>
          <rPr>
            <b/>
            <u val="single"/>
            <sz val="12"/>
            <rFont val="Tahoma"/>
            <family val="2"/>
          </rPr>
          <t>and</t>
        </r>
        <r>
          <rPr>
            <sz val="12"/>
            <rFont val="Tahoma"/>
            <family val="2"/>
          </rPr>
          <t xml:space="preserve"> goods have not been installed, they can be returned if in a ‘as new’ saleable condition.
However, a request for these goods to be transferred to another fleet, will incur an Reallocation fee of </t>
        </r>
        <r>
          <rPr>
            <b/>
            <u val="single"/>
            <sz val="12"/>
            <rFont val="Tahoma"/>
            <family val="2"/>
          </rPr>
          <t>$75 per unit</t>
        </r>
        <r>
          <rPr>
            <sz val="12"/>
            <rFont val="Tahoma"/>
            <family val="2"/>
          </rPr>
          <t>, to cover administrative costs.</t>
        </r>
      </text>
    </comment>
  </commentList>
</comments>
</file>

<file path=xl/comments13.xml><?xml version="1.0" encoding="utf-8"?>
<comments xmlns="http://schemas.openxmlformats.org/spreadsheetml/2006/main">
  <authors>
    <author>Tyson Dorsett</author>
  </authors>
  <commentList>
    <comment ref="H10" authorId="0">
      <text>
        <r>
          <rPr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>Admin</t>
        </r>
        <r>
          <rPr>
            <sz val="9"/>
            <rFont val="Tahoma"/>
            <family val="2"/>
          </rPr>
          <t xml:space="preserve"> View, Create, Edit, Delete access
</t>
        </r>
        <r>
          <rPr>
            <b/>
            <sz val="9"/>
            <rFont val="Tahoma"/>
            <family val="2"/>
          </rPr>
          <t xml:space="preserve">Superuser </t>
        </r>
        <r>
          <rPr>
            <sz val="9"/>
            <rFont val="Tahoma"/>
            <family val="2"/>
          </rPr>
          <t xml:space="preserve">View, Create, Edit access
</t>
        </r>
        <r>
          <rPr>
            <b/>
            <sz val="9"/>
            <rFont val="Tahoma"/>
            <family val="2"/>
          </rPr>
          <t xml:space="preserve">User </t>
        </r>
        <r>
          <rPr>
            <sz val="9"/>
            <rFont val="Tahoma"/>
            <family val="2"/>
          </rPr>
          <t>View access</t>
        </r>
      </text>
    </comment>
    <comment ref="K10" authorId="0">
      <text>
        <r>
          <rPr>
            <b/>
            <sz val="9"/>
            <rFont val="Tahoma"/>
            <family val="2"/>
          </rPr>
          <t xml:space="preserve">Mobile Number format:
</t>
        </r>
        <r>
          <rPr>
            <sz val="9"/>
            <rFont val="Tahoma"/>
            <family val="2"/>
          </rPr>
          <t xml:space="preserve">
614XXXXXXXX</t>
        </r>
      </text>
    </comment>
    <comment ref="L10" authorId="0">
      <text>
        <r>
          <rPr>
            <sz val="9"/>
            <rFont val="Tahoma"/>
            <family val="2"/>
          </rPr>
          <t xml:space="preserve">A unique email address is required for each User to enable password recovery.
</t>
        </r>
      </text>
    </comment>
    <comment ref="O10" authorId="0">
      <text>
        <r>
          <rPr>
            <b/>
            <sz val="9"/>
            <rFont val="Tahoma"/>
            <family val="2"/>
          </rPr>
          <t xml:space="preserve">Fill out if User is also a Driver. Otherwise leave Blank.
STD1 </t>
        </r>
        <r>
          <rPr>
            <sz val="9"/>
            <rFont val="Tahoma"/>
            <family val="2"/>
          </rPr>
          <t>= Standard Hours (NHVR)</t>
        </r>
        <r>
          <rPr>
            <b/>
            <sz val="9"/>
            <rFont val="Tahoma"/>
            <family val="2"/>
          </rPr>
          <t xml:space="preserve">
BMF1 </t>
        </r>
        <r>
          <rPr>
            <sz val="9"/>
            <rFont val="Tahoma"/>
            <family val="2"/>
          </rPr>
          <t>= Basic Fatigue Management Hours (NHVR)</t>
        </r>
        <r>
          <rPr>
            <b/>
            <sz val="9"/>
            <rFont val="Tahoma"/>
            <family val="2"/>
          </rPr>
          <t xml:space="preserve">
</t>
        </r>
        <r>
          <rPr>
            <b/>
            <sz val="9"/>
            <rFont val="Tahoma"/>
            <family val="2"/>
          </rPr>
          <t xml:space="preserve">
</t>
        </r>
        <r>
          <rPr>
            <sz val="9"/>
            <rFont val="Tahoma"/>
            <family val="2"/>
          </rPr>
          <t>If your fatigue rules are different from the above, please contact your sales representative.</t>
        </r>
        <r>
          <rPr>
            <b/>
            <sz val="9"/>
            <rFont val="Tahoma"/>
            <family val="2"/>
          </rPr>
          <t xml:space="preserve">
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<sst xmlns="http://schemas.openxmlformats.org/spreadsheetml/2006/main" count="2476" uniqueCount="471">
  <si>
    <t>Postcode</t>
  </si>
  <si>
    <t>Company</t>
  </si>
  <si>
    <t>Address</t>
  </si>
  <si>
    <t>Contact</t>
  </si>
  <si>
    <t>Phone No</t>
  </si>
  <si>
    <t>Qty</t>
  </si>
  <si>
    <t>Customer Details</t>
  </si>
  <si>
    <t>Dealer Details</t>
  </si>
  <si>
    <t>Product Type</t>
  </si>
  <si>
    <t>Email</t>
  </si>
  <si>
    <t>Contact No.</t>
  </si>
  <si>
    <t xml:space="preserve">Email </t>
  </si>
  <si>
    <t>Suburb</t>
  </si>
  <si>
    <t>State</t>
  </si>
  <si>
    <t xml:space="preserve">Part Number </t>
  </si>
  <si>
    <t>Yes</t>
  </si>
  <si>
    <t>No</t>
  </si>
  <si>
    <t>MDT</t>
  </si>
  <si>
    <t>Data Capture Unit (DCU) for EMS</t>
  </si>
  <si>
    <t>Billing, Order &amp; SIM Activation Details</t>
  </si>
  <si>
    <t>ConEx &amp; Third-party Device Integration</t>
  </si>
  <si>
    <t>Satellite Communication Device</t>
  </si>
  <si>
    <t>Temperature Monitoring Kit</t>
  </si>
  <si>
    <t>Other</t>
  </si>
  <si>
    <t>--Select--</t>
  </si>
  <si>
    <t>FBT reporting</t>
  </si>
  <si>
    <t>NW</t>
  </si>
  <si>
    <t>OEM</t>
  </si>
  <si>
    <t>M-Nav 950</t>
  </si>
  <si>
    <t>Safety Analytics</t>
  </si>
  <si>
    <t>ConEx 8-Way cable</t>
  </si>
  <si>
    <t>ConEx 10-Way I/O cable</t>
  </si>
  <si>
    <t>Select the ConEx connection required:</t>
  </si>
  <si>
    <t>Hardware</t>
  </si>
  <si>
    <t>NavCAN1</t>
  </si>
  <si>
    <t>NavCAN2</t>
  </si>
  <si>
    <t>Hardware Billing</t>
  </si>
  <si>
    <t>All Qube &amp; Sat Comms orders include the relevant antennas.</t>
  </si>
  <si>
    <t>Additional Service Fees</t>
  </si>
  <si>
    <t>Data Capture Unit (DCU) Service</t>
  </si>
  <si>
    <t>Qtanium Connect - OEM only</t>
  </si>
  <si>
    <t>Administration Fees</t>
  </si>
  <si>
    <t>Bill to Customer</t>
  </si>
  <si>
    <t>Engine Specification</t>
  </si>
  <si>
    <t>---Select---</t>
  </si>
  <si>
    <t>Next G Qube 50</t>
  </si>
  <si>
    <t>Next G Qtanium 200</t>
  </si>
  <si>
    <t>Existing TN Customer?</t>
  </si>
  <si>
    <t>Vehicle &amp; Equipment Information</t>
  </si>
  <si>
    <t>Next G Qtanium 100</t>
  </si>
  <si>
    <t>Inovonics</t>
  </si>
  <si>
    <t>10001450 + 10001300 + 10001288 + 10001289 + 10001294</t>
  </si>
  <si>
    <t>SAP ID</t>
  </si>
  <si>
    <t>Is Teletrac Navman Organising Install?</t>
  </si>
  <si>
    <t>Next G Qube</t>
  </si>
  <si>
    <t>Dealer Buy Price
Per Unit</t>
  </si>
  <si>
    <t>Compliance Essential</t>
  </si>
  <si>
    <t>Compliance Professional</t>
  </si>
  <si>
    <t>1# IAP Essential (tracking + iFace)</t>
  </si>
  <si>
    <t>2# IAP Professional (tracking + compliance)</t>
  </si>
  <si>
    <t>3# IAP Essential (tracking, no iFace)</t>
  </si>
  <si>
    <t>4# IAP Essential (no tracking, with iFace)</t>
  </si>
  <si>
    <t>5# IAP Professional (no tracking, compliance)</t>
  </si>
  <si>
    <t>6# IAP ONLY (no tracking, no iFace)</t>
  </si>
  <si>
    <t>IAP Annual Inspection</t>
  </si>
  <si>
    <t>Monthly Cost
Per Unit</t>
  </si>
  <si>
    <t>Dealer Demo</t>
  </si>
  <si>
    <t>Cost Per Unit</t>
  </si>
  <si>
    <t>Renewal</t>
  </si>
  <si>
    <t>Replacement</t>
  </si>
  <si>
    <t>Monthly Additional Services Total</t>
  </si>
  <si>
    <t>Hardware Total</t>
  </si>
  <si>
    <t>FTC Manager Fees</t>
  </si>
  <si>
    <t>FTC Manager - Gold</t>
  </si>
  <si>
    <t>FTC Manager - Silver</t>
  </si>
  <si>
    <t>FTC Manager - Bronze</t>
  </si>
  <si>
    <t>Monthly FTC Manager Fees Total</t>
  </si>
  <si>
    <t>Does this Order Require Urgent Processing?</t>
  </si>
  <si>
    <t>Administration Fees Total</t>
  </si>
  <si>
    <t>Dealer Information</t>
  </si>
  <si>
    <t>Purchase Order</t>
  </si>
  <si>
    <t>Order Date</t>
  </si>
  <si>
    <t>Contact Number</t>
  </si>
  <si>
    <t>Customer Information</t>
  </si>
  <si>
    <t>How did they hear about Teletrac Navman?</t>
  </si>
  <si>
    <t>Customer ID</t>
  </si>
  <si>
    <t>General Contact</t>
  </si>
  <si>
    <t>Accounts Contact</t>
  </si>
  <si>
    <t>Order &amp; Billing Information</t>
  </si>
  <si>
    <t>Order Reason</t>
  </si>
  <si>
    <t>Customer PO</t>
  </si>
  <si>
    <t>Service Fee Billing</t>
  </si>
  <si>
    <t>Monthly Service Fee 
(per unit)</t>
  </si>
  <si>
    <t>SIM Activation By</t>
  </si>
  <si>
    <t>New Customer</t>
  </si>
  <si>
    <t>Teletrac Navman Billed</t>
  </si>
  <si>
    <t>Add to Fleet</t>
  </si>
  <si>
    <t>Telstra Billed</t>
  </si>
  <si>
    <t>Accessories/Parts Only</t>
  </si>
  <si>
    <r>
      <t>Fleet Name</t>
    </r>
    <r>
      <rPr>
        <sz val="11"/>
        <color rgb="FFC00000"/>
        <rFont val="Calibri"/>
        <family val="2"/>
        <scheme val="minor"/>
      </rPr>
      <t>*</t>
    </r>
  </si>
  <si>
    <t>If 'Yes', select ConEx Cable</t>
  </si>
  <si>
    <t>What is being monitored or installed?</t>
  </si>
  <si>
    <t>Billing &amp; SIM Activation</t>
  </si>
  <si>
    <t>Monthly Service Fee</t>
  </si>
  <si>
    <t>per unit</t>
  </si>
  <si>
    <t>Next G Qtanium 400</t>
  </si>
  <si>
    <t>Qtanium Connect TN - With TN Hardware</t>
  </si>
  <si>
    <t>Subtotal</t>
  </si>
  <si>
    <t>Urgent Order Processing Fee for 1 - 5 Qubes</t>
  </si>
  <si>
    <t>Urgent Order Processing Fee for 6 - 10 Qubes</t>
  </si>
  <si>
    <t>Urgent Order Processing Fee for 11+ Qubes</t>
  </si>
  <si>
    <t>Dealership</t>
  </si>
  <si>
    <t>Sales Representative</t>
  </si>
  <si>
    <t xml:space="preserve">iFace Messaging </t>
  </si>
  <si>
    <t>iFace CraneNav</t>
  </si>
  <si>
    <t>iFace Quick Jobs</t>
  </si>
  <si>
    <t>iFace Easy-Docs (no data included)</t>
  </si>
  <si>
    <t>Data Pack (50mb block)</t>
  </si>
  <si>
    <t>iFace Speed Assist</t>
  </si>
  <si>
    <t>iFace Forms</t>
  </si>
  <si>
    <t>iFace SmartNav Navigation</t>
  </si>
  <si>
    <t>Upsell</t>
  </si>
  <si>
    <t xml:space="preserve">10001937 + 10001352 </t>
  </si>
  <si>
    <t xml:space="preserve">10001937 + 10001828 + 10001352 </t>
  </si>
  <si>
    <t xml:space="preserve">10001828 + 10001352 </t>
  </si>
  <si>
    <t>Onboard Mass Management non IAP</t>
  </si>
  <si>
    <t>SmartJobs</t>
  </si>
  <si>
    <t>10001937 + 10001828</t>
  </si>
  <si>
    <t>Onboard Mass Management with IAP</t>
  </si>
  <si>
    <t>Task Manager</t>
  </si>
  <si>
    <t>Customer Name and Account Number</t>
  </si>
  <si>
    <t>Contract to be cancelled</t>
  </si>
  <si>
    <t>Sales Order to be cancelled</t>
  </si>
  <si>
    <t>Vehicles</t>
  </si>
  <si>
    <t>Stop all billing on Sales Order</t>
  </si>
  <si>
    <t>If No, Sales order should be decremented by these Qty</t>
  </si>
  <si>
    <t>Material Code</t>
  </si>
  <si>
    <t>Service Description</t>
  </si>
  <si>
    <t>QTY (- #)</t>
  </si>
  <si>
    <t>IVU Installation</t>
  </si>
  <si>
    <t>General Installation</t>
  </si>
  <si>
    <t>Installer on site repair/service call</t>
  </si>
  <si>
    <t>Additional de-install per IVU</t>
  </si>
  <si>
    <t>Additional re-install per IVU</t>
  </si>
  <si>
    <t>Additional accessory installation</t>
  </si>
  <si>
    <t>Additional VPM installation</t>
  </si>
  <si>
    <t>Annual Maintenance</t>
  </si>
  <si>
    <t>Installer on site repair - Warranty</t>
  </si>
  <si>
    <t>IVU De-installation</t>
  </si>
  <si>
    <t>Additional de-install of 3rd party equipment</t>
  </si>
  <si>
    <t>Additional re-install of 3rd party equipment</t>
  </si>
  <si>
    <t>iFace Installation (with IVU installation)</t>
  </si>
  <si>
    <t>Installer travel charges</t>
  </si>
  <si>
    <t>BYOA - Container Chain</t>
  </si>
  <si>
    <t>BYOA-CC-01</t>
  </si>
  <si>
    <t>Sales Information</t>
  </si>
  <si>
    <t>Installation Service Charges</t>
  </si>
  <si>
    <t>Bill to Other</t>
  </si>
  <si>
    <t>Hardware/Install Billing</t>
  </si>
  <si>
    <t>If billing to other, specify SAP ID</t>
  </si>
  <si>
    <t>Billing Info</t>
  </si>
  <si>
    <t>Teletrac Navman SIM</t>
  </si>
  <si>
    <t xml:space="preserve">OUTRIGHT ORDER FORM </t>
  </si>
  <si>
    <t>General Info</t>
  </si>
  <si>
    <t>Onboarding Contact</t>
  </si>
  <si>
    <t>(If new Transport Customer, please advise who will be owning the training component)</t>
  </si>
  <si>
    <r>
      <t>Company Name</t>
    </r>
    <r>
      <rPr>
        <sz val="9"/>
        <color rgb="FFC00000"/>
        <rFont val="Calibri"/>
        <family val="2"/>
        <scheme val="minor"/>
      </rPr>
      <t>*</t>
    </r>
  </si>
  <si>
    <r>
      <t>Opportunity Field ID</t>
    </r>
    <r>
      <rPr>
        <sz val="9"/>
        <color rgb="FFC00000"/>
        <rFont val="Calibri"/>
        <family val="2"/>
        <scheme val="minor"/>
      </rPr>
      <t>*</t>
    </r>
  </si>
  <si>
    <r>
      <t>Trading As Name</t>
    </r>
    <r>
      <rPr>
        <sz val="9"/>
        <color rgb="FFC00000"/>
        <rFont val="Calibri"/>
        <family val="2"/>
        <scheme val="minor"/>
      </rPr>
      <t>*</t>
    </r>
  </si>
  <si>
    <r>
      <t>Industry</t>
    </r>
    <r>
      <rPr>
        <sz val="9"/>
        <color rgb="FFC00000"/>
        <rFont val="Calibri"/>
        <family val="2"/>
        <scheme val="minor"/>
      </rPr>
      <t>*</t>
    </r>
  </si>
  <si>
    <r>
      <t>ABN Number</t>
    </r>
    <r>
      <rPr>
        <sz val="9"/>
        <color rgb="FFC00000"/>
        <rFont val="Calibri"/>
        <family val="2"/>
        <scheme val="minor"/>
      </rPr>
      <t>*</t>
    </r>
  </si>
  <si>
    <r>
      <t>Address</t>
    </r>
    <r>
      <rPr>
        <sz val="9"/>
        <color rgb="FFC00000"/>
        <rFont val="Calibri"/>
        <family val="2"/>
        <scheme val="minor"/>
      </rPr>
      <t>*</t>
    </r>
  </si>
  <si>
    <r>
      <t>State</t>
    </r>
    <r>
      <rPr>
        <sz val="9"/>
        <color rgb="FFC00000"/>
        <rFont val="Calibri"/>
        <family val="2"/>
        <scheme val="minor"/>
      </rPr>
      <t>*</t>
    </r>
  </si>
  <si>
    <r>
      <t>Suburb</t>
    </r>
    <r>
      <rPr>
        <sz val="9"/>
        <color rgb="FFC00000"/>
        <rFont val="Calibri"/>
        <family val="2"/>
        <scheme val="minor"/>
      </rPr>
      <t>*</t>
    </r>
  </si>
  <si>
    <r>
      <t>Postcode</t>
    </r>
    <r>
      <rPr>
        <sz val="9"/>
        <color rgb="FFC00000"/>
        <rFont val="Calibri"/>
        <family val="2"/>
        <scheme val="minor"/>
      </rPr>
      <t>*</t>
    </r>
    <r>
      <rPr>
        <sz val="9"/>
        <rFont val="Calibri"/>
        <family val="2"/>
        <scheme val="minor"/>
      </rPr>
      <t xml:space="preserve">  </t>
    </r>
  </si>
  <si>
    <r>
      <t>Name</t>
    </r>
    <r>
      <rPr>
        <sz val="9"/>
        <color rgb="FFC00000"/>
        <rFont val="Calibri"/>
        <family val="2"/>
        <scheme val="minor"/>
      </rPr>
      <t>*</t>
    </r>
  </si>
  <si>
    <r>
      <t>Email Address</t>
    </r>
    <r>
      <rPr>
        <sz val="9"/>
        <color rgb="FFC00000"/>
        <rFont val="Calibri"/>
        <family val="2"/>
        <scheme val="minor"/>
      </rPr>
      <t>*</t>
    </r>
  </si>
  <si>
    <r>
      <t>Phone Number</t>
    </r>
    <r>
      <rPr>
        <sz val="9"/>
        <color rgb="FFC00000"/>
        <rFont val="Calibri"/>
        <family val="2"/>
        <scheme val="minor"/>
      </rPr>
      <t>*</t>
    </r>
  </si>
  <si>
    <r>
      <t>Dealership Name</t>
    </r>
    <r>
      <rPr>
        <sz val="9"/>
        <color rgb="FFC00000"/>
        <rFont val="Calibri"/>
        <family val="2"/>
        <scheme val="minor"/>
      </rPr>
      <t>*</t>
    </r>
  </si>
  <si>
    <r>
      <t>Physical Address</t>
    </r>
    <r>
      <rPr>
        <sz val="9"/>
        <color rgb="FFC00000"/>
        <rFont val="Calibri"/>
        <family val="2"/>
        <scheme val="minor"/>
      </rPr>
      <t>*</t>
    </r>
  </si>
  <si>
    <r>
      <t>Sales Representative</t>
    </r>
    <r>
      <rPr>
        <sz val="9"/>
        <color rgb="FFC00000"/>
        <rFont val="Calibri"/>
        <family val="2"/>
        <scheme val="minor"/>
      </rPr>
      <t>*</t>
    </r>
  </si>
  <si>
    <r>
      <t>TN Regional Manager</t>
    </r>
    <r>
      <rPr>
        <sz val="9"/>
        <color rgb="FFC00000"/>
        <rFont val="Calibri"/>
        <family val="2"/>
        <scheme val="minor"/>
      </rPr>
      <t>*</t>
    </r>
  </si>
  <si>
    <t>General Info (Internal)</t>
  </si>
  <si>
    <r>
      <t>Sales Person</t>
    </r>
    <r>
      <rPr>
        <sz val="9"/>
        <color rgb="FFC00000"/>
        <rFont val="Calibri"/>
        <family val="2"/>
        <scheme val="minor"/>
      </rPr>
      <t>*</t>
    </r>
  </si>
  <si>
    <t>Fleet Information</t>
  </si>
  <si>
    <r>
      <t>Make</t>
    </r>
    <r>
      <rPr>
        <b/>
        <i/>
        <sz val="10"/>
        <color rgb="FFC00000"/>
        <rFont val="Calibri"/>
        <family val="2"/>
        <scheme val="minor"/>
      </rPr>
      <t>*</t>
    </r>
  </si>
  <si>
    <r>
      <t>Model</t>
    </r>
    <r>
      <rPr>
        <b/>
        <i/>
        <sz val="10"/>
        <color rgb="FFC00000"/>
        <rFont val="Calibri"/>
        <family val="2"/>
        <scheme val="minor"/>
      </rPr>
      <t>*</t>
    </r>
  </si>
  <si>
    <r>
      <t>Year</t>
    </r>
    <r>
      <rPr>
        <b/>
        <i/>
        <sz val="10"/>
        <color rgb="FFC00000"/>
        <rFont val="Calibri"/>
        <family val="2"/>
        <scheme val="minor"/>
      </rPr>
      <t>*</t>
    </r>
  </si>
  <si>
    <r>
      <t>Registration</t>
    </r>
    <r>
      <rPr>
        <b/>
        <i/>
        <sz val="10"/>
        <color rgb="FFC00000"/>
        <rFont val="Calibri"/>
        <family val="2"/>
        <scheme val="minor"/>
      </rPr>
      <t>*</t>
    </r>
  </si>
  <si>
    <r>
      <t>State</t>
    </r>
    <r>
      <rPr>
        <b/>
        <i/>
        <sz val="10"/>
        <color rgb="FFC00000"/>
        <rFont val="Calibri"/>
        <family val="2"/>
        <scheme val="minor"/>
      </rPr>
      <t>*</t>
    </r>
  </si>
  <si>
    <r>
      <t>Vin</t>
    </r>
    <r>
      <rPr>
        <b/>
        <i/>
        <sz val="10"/>
        <color rgb="FFC00000"/>
        <rFont val="Calibri"/>
        <family val="2"/>
        <scheme val="minor"/>
      </rPr>
      <t>*</t>
    </r>
  </si>
  <si>
    <t>OUTRIGHT ORDER FORM</t>
  </si>
  <si>
    <t>Renewal - Recontract</t>
  </si>
  <si>
    <t xml:space="preserve">  YES</t>
  </si>
  <si>
    <t>Billing, Order &amp; SIM Activation Details (Internal)</t>
  </si>
  <si>
    <r>
      <rPr>
        <b/>
        <sz val="9"/>
        <rFont val="Calibri"/>
        <family val="2"/>
        <scheme val="minor"/>
      </rPr>
      <t>Digger</t>
    </r>
    <r>
      <rPr>
        <sz val="9"/>
        <rFont val="Calibri"/>
        <family val="2"/>
        <scheme val="minor"/>
      </rPr>
      <t xml:space="preserve"> (ON / OFF)</t>
    </r>
  </si>
  <si>
    <r>
      <rPr>
        <b/>
        <sz val="9"/>
        <rFont val="Calibri"/>
        <family val="2"/>
        <scheme val="minor"/>
      </rPr>
      <t>Battery Isolation</t>
    </r>
    <r>
      <rPr>
        <sz val="9"/>
        <rFont val="Calibri"/>
        <family val="2"/>
        <scheme val="minor"/>
      </rPr>
      <t xml:space="preserve"> (ON / OFF)</t>
    </r>
  </si>
  <si>
    <r>
      <rPr>
        <b/>
        <sz val="9"/>
        <rFont val="Calibri"/>
        <family val="2"/>
        <scheme val="minor"/>
      </rPr>
      <t>Engine</t>
    </r>
    <r>
      <rPr>
        <sz val="9"/>
        <rFont val="Calibri"/>
        <family val="2"/>
        <scheme val="minor"/>
      </rPr>
      <t xml:space="preserve"> (STARTED / STOPPED)</t>
    </r>
  </si>
  <si>
    <r>
      <rPr>
        <b/>
        <sz val="9"/>
        <rFont val="Calibri"/>
        <family val="2"/>
        <scheme val="minor"/>
      </rPr>
      <t>Working</t>
    </r>
    <r>
      <rPr>
        <sz val="9"/>
        <rFont val="Calibri"/>
        <family val="2"/>
        <scheme val="minor"/>
      </rPr>
      <t xml:space="preserve"> (WORKING / NOT WORKING)</t>
    </r>
  </si>
  <si>
    <r>
      <rPr>
        <b/>
        <sz val="9"/>
        <rFont val="Calibri"/>
        <family val="2"/>
        <scheme val="minor"/>
      </rPr>
      <t>Site</t>
    </r>
    <r>
      <rPr>
        <sz val="9"/>
        <rFont val="Calibri"/>
        <family val="2"/>
        <scheme val="minor"/>
      </rPr>
      <t xml:space="preserve"> (ENTERING / LEAVING)</t>
    </r>
  </si>
  <si>
    <r>
      <rPr>
        <b/>
        <sz val="9"/>
        <rFont val="Calibri"/>
        <family val="2"/>
        <scheme val="minor"/>
      </rPr>
      <t>Dump</t>
    </r>
    <r>
      <rPr>
        <sz val="9"/>
        <rFont val="Calibri"/>
        <family val="2"/>
        <scheme val="minor"/>
      </rPr>
      <t xml:space="preserve"> (ON / OFF)</t>
    </r>
  </si>
  <si>
    <r>
      <t xml:space="preserve">Compliance Essential 
</t>
    </r>
    <r>
      <rPr>
        <i/>
        <sz val="9"/>
        <rFont val="Calibri"/>
        <family val="2"/>
        <scheme val="minor"/>
      </rPr>
      <t>iFace + Compliance</t>
    </r>
  </si>
  <si>
    <r>
      <t xml:space="preserve">Compliance Professional 
</t>
    </r>
    <r>
      <rPr>
        <i/>
        <sz val="9"/>
        <rFont val="Calibri"/>
        <family val="2"/>
        <scheme val="minor"/>
      </rPr>
      <t>iFace + Compliance + Qube + NextGen</t>
    </r>
  </si>
  <si>
    <r>
      <t xml:space="preserve">#1 IAP Essential - Tracking, with iFace
</t>
    </r>
    <r>
      <rPr>
        <i/>
        <sz val="9"/>
        <rFont val="Calibri"/>
        <family val="2"/>
        <scheme val="minor"/>
      </rPr>
      <t>iFace + Qube + IVU + NextGen</t>
    </r>
  </si>
  <si>
    <r>
      <t xml:space="preserve">#2 IAP Professional - Tracking, Compliance
</t>
    </r>
    <r>
      <rPr>
        <i/>
        <sz val="9"/>
        <rFont val="Calibri"/>
        <family val="2"/>
        <scheme val="minor"/>
      </rPr>
      <t>iFace + Compliance + Qube + IVU + NextGen</t>
    </r>
  </si>
  <si>
    <r>
      <t xml:space="preserve">#3 IAP Essential - Tracking, no iFace
</t>
    </r>
    <r>
      <rPr>
        <i/>
        <sz val="9"/>
        <rFont val="Calibri"/>
        <family val="2"/>
        <scheme val="minor"/>
      </rPr>
      <t>Qube + IVU + NextGen</t>
    </r>
  </si>
  <si>
    <r>
      <t xml:space="preserve">#4 IAP Essential - no Tracking, with iFace
</t>
    </r>
    <r>
      <rPr>
        <i/>
        <sz val="9"/>
        <rFont val="Calibri"/>
        <family val="2"/>
        <scheme val="minor"/>
      </rPr>
      <t>iFace + IVU + NextGen</t>
    </r>
  </si>
  <si>
    <r>
      <t xml:space="preserve">#5 IAP Professional - no Tracking, with Compliance
</t>
    </r>
    <r>
      <rPr>
        <i/>
        <sz val="9"/>
        <rFont val="Calibri"/>
        <family val="2"/>
        <scheme val="minor"/>
      </rPr>
      <t>iFace + Compliance + IVU + NextGen</t>
    </r>
  </si>
  <si>
    <r>
      <t xml:space="preserve">#6 IAP Only - no Tracking, no iFace
</t>
    </r>
    <r>
      <rPr>
        <i/>
        <sz val="9"/>
        <rFont val="Calibri"/>
        <family val="2"/>
        <scheme val="minor"/>
      </rPr>
      <t>IVU + IAP + NextGen</t>
    </r>
  </si>
  <si>
    <r>
      <t xml:space="preserve">Reallocation Administration Fee </t>
    </r>
    <r>
      <rPr>
        <i/>
        <sz val="9"/>
        <rFont val="Calibri"/>
        <family val="2"/>
        <scheme val="minor"/>
      </rPr>
      <t>- Transferring of units between fleets</t>
    </r>
  </si>
  <si>
    <r>
      <t xml:space="preserve">Urgent order fee applies to </t>
    </r>
    <r>
      <rPr>
        <b/>
        <i/>
        <sz val="9"/>
        <color rgb="FFC00000"/>
        <rFont val="Calibri"/>
        <family val="2"/>
        <scheme val="minor"/>
      </rPr>
      <t>Qubes only</t>
    </r>
    <r>
      <rPr>
        <i/>
        <sz val="9"/>
        <color rgb="FFC00000"/>
        <rFont val="Calibri"/>
        <family val="2"/>
        <scheme val="minor"/>
      </rPr>
      <t xml:space="preserve"> and is charged for shipping goods within 48 hours of receiving all the correct documents and credit approvals</t>
    </r>
  </si>
  <si>
    <t xml:space="preserve">Is additional monitoring required for a vehicle's/equipment's auxiliary function? Example: Duress Button, Door Open/Close, etc.
</t>
  </si>
  <si>
    <t xml:space="preserve">Example: Temperature, Duress Button, etc. </t>
  </si>
  <si>
    <t xml:space="preserve">If billing to other, specify SAP ID  </t>
  </si>
  <si>
    <t>10003176 + 90001024</t>
  </si>
  <si>
    <t>Opportunity entered in Saleforce</t>
  </si>
  <si>
    <r>
      <t>Name of User</t>
    </r>
    <r>
      <rPr>
        <i/>
        <sz val="11"/>
        <color rgb="FFC00000"/>
        <rFont val="Calibri"/>
        <family val="2"/>
        <scheme val="minor"/>
      </rPr>
      <t>*</t>
    </r>
  </si>
  <si>
    <r>
      <t>Email Address of User</t>
    </r>
    <r>
      <rPr>
        <i/>
        <sz val="11"/>
        <color rgb="FFC00000"/>
        <rFont val="Calibri"/>
        <family val="2"/>
        <scheme val="minor"/>
      </rPr>
      <t>*</t>
    </r>
  </si>
  <si>
    <t>Customer Login Details</t>
  </si>
  <si>
    <t/>
  </si>
  <si>
    <t>© 2019 Teletrac Navman</t>
  </si>
  <si>
    <t>Serial Numbers (Renewals Only)</t>
  </si>
  <si>
    <t>Vehicle Name</t>
  </si>
  <si>
    <t>ATS 
Functionality
Position only
Movement</t>
  </si>
  <si>
    <t>Position only</t>
  </si>
  <si>
    <t>movement</t>
  </si>
  <si>
    <r>
      <t xml:space="preserve">Order Reason </t>
    </r>
    <r>
      <rPr>
        <sz val="9"/>
        <color rgb="FFFF0000"/>
        <rFont val="Calibri"/>
        <family val="2"/>
        <scheme val="minor"/>
      </rPr>
      <t>*</t>
    </r>
  </si>
  <si>
    <t>© 2020 Teletrac Navman</t>
  </si>
  <si>
    <r>
      <t xml:space="preserve">Is this order intended for vehicles with existing harware installed </t>
    </r>
    <r>
      <rPr>
        <sz val="11"/>
        <color rgb="FFFF0000"/>
        <rFont val="Calibri"/>
        <family val="2"/>
        <scheme val="minor"/>
      </rPr>
      <t xml:space="preserve">*   </t>
    </r>
  </si>
  <si>
    <t>Migration to TN360</t>
  </si>
  <si>
    <t>CSS Representive Engaged</t>
  </si>
  <si>
    <t>Approved Scenarios</t>
  </si>
  <si>
    <t>GPIO</t>
  </si>
  <si>
    <t>GPIO Details</t>
  </si>
  <si>
    <t>GPIO Configuration</t>
  </si>
  <si>
    <t>GPIO is set at the company level and will apply to all vehicles. Any special configuration is to be setup during installation.</t>
  </si>
  <si>
    <t>Select one event per input only and mark with an X</t>
  </si>
  <si>
    <t>© 2022 Teletrac Navman</t>
  </si>
  <si>
    <t>ALL PLATFORMS</t>
  </si>
  <si>
    <t>Additional Sims required for existing iFace  Qty needed</t>
  </si>
  <si>
    <t>Migration required 3g to 4G</t>
  </si>
  <si>
    <t>©2022 Teletrac Navman</t>
  </si>
  <si>
    <t>Any integration required to be transferred (Please name eg FTC)</t>
  </si>
  <si>
    <t>Any peripheral devices required to be transferred  (Please name )</t>
  </si>
  <si>
    <t>IT Contact for BYOD</t>
  </si>
  <si>
    <t>Navtek Tracking</t>
  </si>
  <si>
    <t>PO Box 84 , Balgowlah , 2093 , New South Wales</t>
  </si>
  <si>
    <t>sophia@navtek.com.au</t>
  </si>
  <si>
    <t>.</t>
  </si>
  <si>
    <t>May 13, 2026</t>
  </si>
  <si>
    <t>Sophia Carvalho</t>
  </si>
  <si>
    <t>Cosmo Cranes Pty Ltd</t>
  </si>
  <si>
    <t>28 Riverside Road</t>
  </si>
  <si>
    <t>120561</t>
  </si>
  <si>
    <t>006VP00000YLgyL</t>
  </si>
  <si>
    <t>1005 Machinery and Equipm</t>
  </si>
  <si>
    <t>Industry Sub Code*</t>
  </si>
  <si>
    <t>0209 Lift/Crane</t>
  </si>
  <si>
    <t>72107040746</t>
  </si>
  <si>
    <t>Bill to Dealer</t>
  </si>
  <si>
    <t>Teletrac Navman</t>
  </si>
  <si>
    <t>Chipping Norton</t>
  </si>
  <si>
    <t>Is Migration required?</t>
  </si>
  <si>
    <t>Padma Aluri</t>
  </si>
  <si>
    <t>Quantity</t>
  </si>
  <si>
    <t>Product Name</t>
  </si>
  <si>
    <t>Product Description</t>
  </si>
  <si>
    <t>Product Code</t>
  </si>
  <si>
    <t>Product Family</t>
  </si>
  <si>
    <t>Term</t>
  </si>
  <si>
    <t>Sales Price per Unit</t>
  </si>
  <si>
    <t>Parts</t>
  </si>
  <si>
    <t>Commissions &amp; Fees</t>
  </si>
  <si>
    <t>10003496</t>
  </si>
  <si>
    <t>85000001</t>
  </si>
  <si>
    <t>Internal Use Only</t>
  </si>
  <si>
    <t>Driver ID 3 Green Keyfob Reader    </t>
  </si>
  <si>
    <t>Driver ID - DID3 Dallas reader                   </t>
  </si>
  <si>
    <t>GPIO Configuration DI1</t>
  </si>
  <si>
    <t>GPIO Configuration DI2</t>
  </si>
  <si>
    <t>GPIO Configuration DI3</t>
  </si>
  <si>
    <t>Customer Address</t>
  </si>
  <si>
    <t>Which address is the Delivery going to?</t>
  </si>
  <si>
    <t>Delivery Address</t>
  </si>
  <si>
    <t>Company Name</t>
  </si>
  <si>
    <t>Contact Name</t>
  </si>
  <si>
    <t>Contact Email</t>
  </si>
  <si>
    <t>28 Riverside Road,Chipping Norton,2170,New South Wales</t>
  </si>
  <si>
    <t>reception@cosmocranes.com.au</t>
  </si>
  <si>
    <t>1300 1 COSMO</t>
  </si>
  <si>
    <t>Hardware Only (Replacement unit)</t>
  </si>
  <si>
    <t>Total Monthly Payment</t>
  </si>
  <si>
    <t>Total Install Value</t>
  </si>
  <si>
    <t>Total Contract Value</t>
  </si>
  <si>
    <t>Total Dealer Commission</t>
  </si>
  <si>
    <t>New Business Account from a COR</t>
  </si>
  <si>
    <t>Customer to Customer COR</t>
  </si>
  <si>
    <t>Natalie Beattie</t>
  </si>
  <si>
    <t>Change of Ownership</t>
  </si>
  <si>
    <t>Director Sync Enabled</t>
  </si>
  <si>
    <t>Platform</t>
  </si>
  <si>
    <t>NT</t>
  </si>
  <si>
    <t xml:space="preserve">TAS </t>
  </si>
  <si>
    <t>WA</t>
  </si>
  <si>
    <t>ACT</t>
  </si>
  <si>
    <t>SA</t>
  </si>
  <si>
    <t>QLD</t>
  </si>
  <si>
    <t>NSW</t>
  </si>
  <si>
    <t xml:space="preserve">VIC </t>
  </si>
  <si>
    <t>Select</t>
  </si>
  <si>
    <t>iFace/MT201 Applications</t>
  </si>
  <si>
    <t>HPV/RIM</t>
  </si>
  <si>
    <t>Onboard Mass non IAP</t>
  </si>
  <si>
    <t>Onboard Mass IAP</t>
  </si>
  <si>
    <t>IAP Essential/Professional</t>
  </si>
  <si>
    <r>
      <rPr>
        <b/>
        <sz val="11"/>
        <color rgb="FFFF0000"/>
        <rFont val="Calibri"/>
        <family val="2"/>
        <scheme val="minor"/>
      </rPr>
      <t>*</t>
    </r>
    <r>
      <rPr>
        <sz val="10"/>
        <color theme="0"/>
        <rFont val="Calibri"/>
        <family val="2"/>
        <scheme val="minor"/>
      </rPr>
      <t xml:space="preserve"> Denotes Required Fields</t>
    </r>
  </si>
  <si>
    <t>Trailers</t>
  </si>
  <si>
    <t>NZ Fleet</t>
  </si>
  <si>
    <t>67 Apollo Dr, Rosedale, Auckland, 0632</t>
  </si>
  <si>
    <t>Auckland</t>
  </si>
  <si>
    <t>Camberwell</t>
  </si>
  <si>
    <t>Australia/Melbourne</t>
  </si>
  <si>
    <t>jane.doe@teletracnavman.com</t>
  </si>
  <si>
    <t>61401234567</t>
  </si>
  <si>
    <t>1234AA</t>
  </si>
  <si>
    <t>Admin</t>
  </si>
  <si>
    <t>Bloggs</t>
  </si>
  <si>
    <t>Joe</t>
  </si>
  <si>
    <t>AU</t>
  </si>
  <si>
    <t>4/990 Toorak Rd Camberwell VIC 3124</t>
  </si>
  <si>
    <r>
      <t>Ruleset</t>
    </r>
    <r>
      <rPr>
        <b/>
        <sz val="9"/>
        <color rgb="FFFF0000"/>
        <rFont val="Calibri"/>
        <family val="2"/>
        <scheme val="minor"/>
      </rPr>
      <t>*</t>
    </r>
  </si>
  <si>
    <r>
      <t>Branch</t>
    </r>
    <r>
      <rPr>
        <b/>
        <sz val="9"/>
        <color rgb="FFFF0000"/>
        <rFont val="Calibri"/>
        <family val="2"/>
        <scheme val="minor"/>
      </rPr>
      <t>*</t>
    </r>
  </si>
  <si>
    <r>
      <t>Time Zone</t>
    </r>
    <r>
      <rPr>
        <b/>
        <sz val="9"/>
        <color rgb="FFFF0000"/>
        <rFont val="Calibri"/>
        <family val="2"/>
        <scheme val="minor"/>
      </rPr>
      <t>*</t>
    </r>
  </si>
  <si>
    <r>
      <t>Email</t>
    </r>
    <r>
      <rPr>
        <b/>
        <sz val="9"/>
        <color rgb="FFFF0000"/>
        <rFont val="Calibri"/>
        <family val="2"/>
        <scheme val="minor"/>
      </rPr>
      <t>*</t>
    </r>
  </si>
  <si>
    <t>Mobile Number</t>
  </si>
  <si>
    <t>Licence #</t>
  </si>
  <si>
    <t>Licence State</t>
  </si>
  <si>
    <t>Permissions</t>
  </si>
  <si>
    <r>
      <t>Last Name</t>
    </r>
    <r>
      <rPr>
        <i/>
        <sz val="11"/>
        <color rgb="FFFF0000"/>
        <rFont val="Arial"/>
        <family val="2"/>
      </rPr>
      <t>*</t>
    </r>
  </si>
  <si>
    <r>
      <t>First Name</t>
    </r>
    <r>
      <rPr>
        <i/>
        <sz val="11"/>
        <color rgb="FFFF0000"/>
        <rFont val="Arial"/>
        <family val="2"/>
      </rPr>
      <t>*</t>
    </r>
  </si>
  <si>
    <r>
      <t>Fleet Name(s)</t>
    </r>
    <r>
      <rPr>
        <b/>
        <sz val="9"/>
        <color rgb="FFFF0000"/>
        <rFont val="Calibri"/>
        <family val="2"/>
        <scheme val="minor"/>
      </rPr>
      <t>*</t>
    </r>
  </si>
  <si>
    <t>Branch Name</t>
  </si>
  <si>
    <t>- Hover your mouse over the column header for more information.
- Please note for Health and Safety purposes, all contacts cannot opt out of System outage notices.</t>
  </si>
  <si>
    <t>- Please list up to three Implementation Managers below, &amp; enter Licence details if implementation manager is also a driver. (leave blank if not a driver)
- All contacts listed below will receive a Welcome Pack including information on how to add further users and Drivers to the platform.</t>
  </si>
  <si>
    <t>- List any branches that your company has. This is where we link drivers/users to their homebase.
- List your vehicle groups. This will help organise your vehicles.</t>
  </si>
  <si>
    <t>IMPLEMENTATION MANAGERS</t>
  </si>
  <si>
    <t>BRANCHES &amp; FLEETS</t>
  </si>
  <si>
    <t xml:space="preserve">Director Sync Enabled? </t>
  </si>
  <si>
    <r>
      <t>TN360 Company Name</t>
    </r>
    <r>
      <rPr>
        <sz val="10"/>
        <color rgb="FFC00000"/>
        <rFont val="Calibri"/>
        <family val="2"/>
        <scheme val="minor"/>
      </rPr>
      <t>*</t>
    </r>
  </si>
  <si>
    <t>To ensure a fast order and provisioning process please complete all relevant information.</t>
  </si>
  <si>
    <t>Please Enter the Order Details below</t>
  </si>
  <si>
    <t>Camera Bundle 4</t>
  </si>
  <si>
    <t>Camera Bundle 3</t>
  </si>
  <si>
    <t>Camera Bundle 2</t>
  </si>
  <si>
    <t>Camera Bundle 1</t>
  </si>
  <si>
    <t>Delphi</t>
  </si>
  <si>
    <t>FMS</t>
  </si>
  <si>
    <t>OBD13 Volvo</t>
  </si>
  <si>
    <t xml:space="preserve">9-pin Deutsch </t>
  </si>
  <si>
    <t xml:space="preserve">6-pin Deutsch </t>
  </si>
  <si>
    <t>VPM HV Connector</t>
  </si>
  <si>
    <t>Solar Tracker</t>
  </si>
  <si>
    <t>ATS2</t>
  </si>
  <si>
    <t>ATS1</t>
  </si>
  <si>
    <t>#6 IAP Only</t>
  </si>
  <si>
    <t>#5 IAP Professional</t>
  </si>
  <si>
    <t>#4 IAP Essential</t>
  </si>
  <si>
    <t>#3 IAP Essential</t>
  </si>
  <si>
    <t>#2 IAP Professional</t>
  </si>
  <si>
    <t>#1 IAP Essential</t>
  </si>
  <si>
    <t>MT501</t>
  </si>
  <si>
    <t>SI201</t>
  </si>
  <si>
    <t>RE400</t>
  </si>
  <si>
    <t>TN3640</t>
  </si>
  <si>
    <t>Tracking Professional (Vt102)</t>
  </si>
  <si>
    <t>Tracking Professional (VT101)</t>
  </si>
  <si>
    <t>Default</t>
  </si>
  <si>
    <t>Bin 1</t>
  </si>
  <si>
    <t>K900</t>
  </si>
  <si>
    <t>Kenworth</t>
  </si>
  <si>
    <t>65F45678643132</t>
  </si>
  <si>
    <t>1JG3JK</t>
  </si>
  <si>
    <t>EWD</t>
  </si>
  <si>
    <t>Forms</t>
  </si>
  <si>
    <t>Easy Docs</t>
  </si>
  <si>
    <t>SmartNav Route</t>
  </si>
  <si>
    <t>SmartNav</t>
  </si>
  <si>
    <t>Speed Assist</t>
  </si>
  <si>
    <t>Messaging</t>
  </si>
  <si>
    <t>Notes</t>
  </si>
  <si>
    <t>DVR Camera Bundle</t>
  </si>
  <si>
    <t>VPM Cable?</t>
  </si>
  <si>
    <t>VPM?</t>
  </si>
  <si>
    <t>Fleet 2</t>
  </si>
  <si>
    <t>Fleet 1</t>
  </si>
  <si>
    <t>Model</t>
  </si>
  <si>
    <t>Make</t>
  </si>
  <si>
    <t>Vehicle Type</t>
  </si>
  <si>
    <t>VIN</t>
  </si>
  <si>
    <t>Rego</t>
  </si>
  <si>
    <t>Reg. State</t>
  </si>
  <si>
    <r>
      <t>Product/</t>
    </r>
    <r>
      <rPr>
        <b/>
        <sz val="9"/>
        <rFont val="Calibri"/>
        <family val="2"/>
        <scheme val="minor"/>
      </rPr>
      <t>Bundle</t>
    </r>
    <r>
      <rPr>
        <b/>
        <sz val="9"/>
        <color rgb="FFFF0000"/>
        <rFont val="Calibri"/>
        <family val="2"/>
        <scheme val="minor"/>
      </rPr>
      <t>*</t>
    </r>
  </si>
  <si>
    <t>Registration</t>
  </si>
  <si>
    <t>DVR Total</t>
  </si>
  <si>
    <t>VPM Cables Total</t>
  </si>
  <si>
    <t>VPM Total</t>
  </si>
  <si>
    <t>ATS Total</t>
  </si>
  <si>
    <t>Solar Tracker Total</t>
  </si>
  <si>
    <t>Vehicle Total</t>
  </si>
  <si>
    <t>Obtain Pre-Trip information
To be completed if applications are required by (*)</t>
  </si>
  <si>
    <t>- All cells that highlight once the product has been selected are Mandatory
- Vehicle name will match registration, enter a new name if this is to be different from the default.
- If the vehicle does not have a registration then enter a meaningful name.</t>
  </si>
  <si>
    <t>- List details of each vehicle. Vehicle Name can be the same as the Vehicle registration.
- List all of the items required per vehicle, one per line.
- Vehicles can be placed into multiple fleets.
- If the fleet details are not added then it will be the customers responsibilty to do this at a later stage.</t>
  </si>
  <si>
    <t>MT201 Options</t>
  </si>
  <si>
    <t>Additional Comments</t>
  </si>
  <si>
    <t>VEHICLES</t>
  </si>
  <si>
    <t>5 Seconds</t>
  </si>
  <si>
    <t>100 km/h</t>
  </si>
  <si>
    <t>This setting dictates when a speed event registers. The standard configuration is 107 km/h for 5+ seconds before an alert is created.</t>
  </si>
  <si>
    <t>If the customer has ordered a new application (SmartNav, EWD etc) then the new UI is required. If these are on an existing iFace then these devices will need to be updated to the new UI.</t>
  </si>
  <si>
    <t>N</t>
  </si>
  <si>
    <t xml:space="preserve">Would you like us to add the standard NHVAS Pretrip Checklist to the MT201 devices? </t>
  </si>
  <si>
    <t>Time</t>
  </si>
  <si>
    <t>Threshold</t>
  </si>
  <si>
    <t>Speed Limit</t>
  </si>
  <si>
    <t>MT201 SPEED ALERT SETTINGS</t>
  </si>
  <si>
    <t>iFace (MT201) NEW UI</t>
  </si>
  <si>
    <t>(Y or N)</t>
  </si>
  <si>
    <t>MT201 PRETRIP CHECKLISTS</t>
  </si>
  <si>
    <t>© 2021 Teletrac Navman</t>
  </si>
  <si>
    <t>Serial Number (Renewals/Transfers Only)</t>
  </si>
  <si>
    <r>
      <t>Account Name</t>
    </r>
    <r>
      <rPr>
        <sz val="10"/>
        <color rgb="FFC00000"/>
        <rFont val="Calibri"/>
        <family val="2"/>
        <scheme val="minor"/>
      </rPr>
      <t>*</t>
    </r>
  </si>
  <si>
    <r>
      <t>Fleet Name</t>
    </r>
    <r>
      <rPr>
        <sz val="10"/>
        <color rgb="FFC00000"/>
        <rFont val="Calibri"/>
        <family val="2"/>
        <scheme val="minor"/>
      </rPr>
      <t>*</t>
    </r>
  </si>
  <si>
    <t xml:space="preserve">Hardware Billing </t>
  </si>
  <si>
    <r>
      <t>Service Fee Billing</t>
    </r>
    <r>
      <rPr>
        <sz val="9"/>
        <color rgb="FFFF0000"/>
        <rFont val="Calibri"/>
        <family val="2"/>
        <scheme val="minor"/>
      </rPr>
      <t xml:space="preserve"> </t>
    </r>
  </si>
  <si>
    <t>Additional Notes for Provisioning and Service</t>
  </si>
  <si>
    <t>QT200 4G</t>
  </si>
  <si>
    <r>
      <rPr>
        <b/>
        <sz val="9"/>
        <rFont val="Arial"/>
        <family val="2"/>
      </rPr>
      <t xml:space="preserve">Additional Notes for Finance: </t>
    </r>
    <r>
      <rPr>
        <sz val="9"/>
        <rFont val="Arial"/>
        <family val="2"/>
      </rPr>
      <t xml:space="preserve">
</t>
    </r>
  </si>
  <si>
    <t>N/A</t>
  </si>
  <si>
    <t>Multiple Delivery and Install Details</t>
  </si>
  <si>
    <t>Is Teletrac Navman Arranging Install?</t>
  </si>
  <si>
    <t>Contact Phone</t>
  </si>
  <si>
    <t xml:space="preserve">Notes </t>
  </si>
  <si>
    <t>e</t>
  </si>
  <si>
    <t>Please Delete the Red Text in the table below and replace with vehilce details from the sale</t>
  </si>
  <si>
    <t>OBM Scale Provider</t>
  </si>
  <si>
    <t>OBM Board Scales:</t>
  </si>
  <si>
    <t xml:space="preserve">If the Opportunity has OBM Products on it, the eOrder workflow will required Scales. </t>
  </si>
  <si>
    <t>To be used for: 015678004069783 - going into CF57TP</t>
  </si>
  <si>
    <t>TN to Arrange Install Details</t>
  </si>
  <si>
    <t>ACT City(s)</t>
  </si>
  <si>
    <t>ACT # of Installs</t>
  </si>
  <si>
    <t>NT City(s)</t>
  </si>
  <si>
    <t>NT # of Installs</t>
  </si>
  <si>
    <t>NSW City(s)</t>
  </si>
  <si>
    <t>NSW # of Installs</t>
  </si>
  <si>
    <t>QLD City(s)</t>
  </si>
  <si>
    <t>QLD # of Installs</t>
  </si>
  <si>
    <t>SA City(s)</t>
  </si>
  <si>
    <t>SA # of Installs</t>
  </si>
  <si>
    <t>TAS City(s)</t>
  </si>
  <si>
    <t>TAS # of Installs</t>
  </si>
  <si>
    <t>VIC City(s)</t>
  </si>
  <si>
    <t>VIC # of Installs</t>
  </si>
  <si>
    <t>Delivery Details</t>
  </si>
  <si>
    <t>WA City(s)</t>
  </si>
  <si>
    <t>WA # of Installs</t>
  </si>
  <si>
    <t>Cosmo Cranes</t>
  </si>
  <si>
    <t>Jason O'Reilly</t>
  </si>
  <si>
    <t>TN360</t>
  </si>
  <si>
    <t>New South Wales</t>
  </si>
  <si>
    <t>2170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</si>
</sst>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[$$-C09]#,##0.00;[Red]\-[$$-C09]#,##0.00"/>
    <numFmt numFmtId="166" formatCode="d/mm/yy;@"/>
  </numFmts>
  <fonts count="111">
    <font>
      <sz val="10"/>
      <name val="Arial"/>
      <family val="2"/>
    </font>
    <font>
      <sz val="11"/>
      <color theme="1"/>
      <name val="Calibri"/>
      <family val="2"/>
      <scheme val="minor"/>
    </font>
    <font>
      <u val="single"/>
      <sz val="10"/>
      <color indexed="12"/>
      <name val="Arial"/>
      <family val="2"/>
    </font>
    <font>
      <sz val="8"/>
      <name val="Arial"/>
      <family val="2"/>
    </font>
    <font>
      <u val="single"/>
      <sz val="10"/>
      <color theme="10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rgb="FFC00000"/>
      <name val="Calibri"/>
      <family val="2"/>
      <scheme val="minor"/>
    </font>
    <font>
      <i/>
      <sz val="10"/>
      <color rgb="FFC00000"/>
      <name val="Calibri"/>
      <family val="2"/>
      <scheme val="minor"/>
    </font>
    <font>
      <b/>
      <sz val="13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color rgb="FFC00000"/>
      <name val="Calibri"/>
      <family val="2"/>
      <scheme val="minor"/>
    </font>
    <font>
      <sz val="10"/>
      <color rgb="FF000000"/>
      <name val="Wingdings"/>
      <family val="2"/>
      <charset val="2"/>
    </font>
    <font>
      <i/>
      <sz val="10"/>
      <name val="Segoe UI"/>
      <family val="2"/>
    </font>
    <font>
      <b/>
      <i/>
      <sz val="10"/>
      <name val="Calibri"/>
      <family val="2"/>
      <scheme val="minor"/>
    </font>
    <font>
      <sz val="9"/>
      <name val="Calibri"/>
      <family val="2"/>
      <scheme val="minor"/>
    </font>
    <font>
      <sz val="12"/>
      <name val="Tahoma"/>
      <family val="2"/>
    </font>
    <font>
      <b/>
      <u val="single"/>
      <sz val="12"/>
      <name val="Tahoma"/>
      <family val="2"/>
    </font>
    <font>
      <sz val="11"/>
      <name val="Arial"/>
      <family val="2"/>
    </font>
    <font>
      <b/>
      <sz val="18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22"/>
      <color theme="1" tint="0.249980002641678"/>
      <name val="Calibri"/>
      <family val="2"/>
      <scheme val="minor"/>
    </font>
    <font>
      <b/>
      <sz val="10"/>
      <color theme="1" tint="0.249980002641678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sz val="9"/>
      <color theme="9" tint="-0.249970003962517"/>
      <name val="Calibri"/>
      <family val="2"/>
      <scheme val="minor"/>
    </font>
    <font>
      <i/>
      <sz val="9"/>
      <color theme="9" tint="-0.249970003962517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8"/>
      <name val="Arial"/>
      <family val="2"/>
    </font>
    <font>
      <b/>
      <sz val="12"/>
      <color rgb="FFFF0000"/>
      <name val="Arial"/>
      <family val="2"/>
    </font>
    <font>
      <sz val="9"/>
      <color theme="1" tint="0.49998000264167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0"/>
      <color theme="1" tint="0.24998000264167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9"/>
      <color theme="1"/>
      <name val="Segoe UI"/>
      <family val="2"/>
    </font>
    <font>
      <i/>
      <sz val="9"/>
      <name val="Segoe UI"/>
      <family val="2"/>
    </font>
    <font>
      <b/>
      <sz val="10"/>
      <name val="Arial"/>
      <family val="2"/>
    </font>
    <font>
      <sz val="11"/>
      <color rgb="FF9C0006"/>
      <name val="Calibri"/>
      <family val="2"/>
      <scheme val="minor"/>
    </font>
    <font>
      <b/>
      <sz val="10"/>
      <color theme="0"/>
      <name val="Calibri"/>
      <family val="2"/>
      <scheme val="minor"/>
    </font>
    <font>
      <u val="single"/>
      <sz val="9"/>
      <color theme="10"/>
      <name val="Arial"/>
      <family val="2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9" tint="-0.249970003962517"/>
      <name val="Calibri"/>
      <family val="2"/>
      <scheme val="minor"/>
    </font>
    <font>
      <i/>
      <sz val="11"/>
      <color rgb="FFC00000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8"/>
      <color theme="1" tint="0.249980002641678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name val="Calibri"/>
      <family val="2"/>
      <scheme val="minor"/>
    </font>
    <font>
      <sz val="24"/>
      <name val="Arial"/>
      <family val="2"/>
    </font>
    <font>
      <b/>
      <i/>
      <sz val="9"/>
      <color rgb="FFFF0000"/>
      <name val="Cambria"/>
      <family val="1"/>
      <scheme val="major"/>
    </font>
    <font>
      <u val="single"/>
      <sz val="10"/>
      <color rgb="FF0000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5"/>
      <name val="Calibri"/>
      <family val="2"/>
      <scheme val="minor"/>
    </font>
    <font>
      <i/>
      <sz val="9"/>
      <color theme="1"/>
      <name val="Calibri"/>
      <family val="2"/>
      <scheme val="minor"/>
    </font>
    <font>
      <u val="single"/>
      <sz val="9"/>
      <color theme="5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i/>
      <sz val="11"/>
      <color rgb="FFFF0000"/>
      <name val="Arial"/>
      <family val="2"/>
    </font>
    <font>
      <sz val="8"/>
      <color theme="1" tint="0.349990010261536"/>
      <name val="Calibri"/>
      <family val="2"/>
      <scheme val="minor"/>
    </font>
    <font>
      <sz val="9"/>
      <color theme="1" tint="0.349990010261536"/>
      <name val="Calibri"/>
      <family val="2"/>
      <scheme val="minor"/>
    </font>
    <font>
      <sz val="10"/>
      <color theme="1" tint="0.34999001026153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48"/>
      <color theme="0" tint="-0.349979996681213"/>
      <name val="Arial Narrow"/>
      <family val="2"/>
    </font>
    <font>
      <sz val="13"/>
      <color theme="2" tint="-0.0999699980020523"/>
      <name val="Calibri"/>
      <family val="2"/>
      <scheme val="minor"/>
    </font>
    <font>
      <sz val="20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9"/>
      <color theme="5" tint="-0.249970003962517"/>
      <name val="Calibri"/>
      <family val="2"/>
      <scheme val="minor"/>
    </font>
    <font>
      <sz val="9"/>
      <color rgb="FFC0504D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 tint="0.34999001026153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48"/>
      <color theme="0" tint="-0.349979996681213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 tint="0.349990010261536"/>
      <name val="Calibri"/>
      <family val="2"/>
      <scheme val="minor"/>
    </font>
    <font>
      <sz val="9"/>
      <color rgb="FF000000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8.5"/>
      <color theme="1"/>
      <name val="Calibri"/>
      <family val="2"/>
    </font>
    <font>
      <b/>
      <sz val="8.5"/>
      <color theme="1"/>
      <name val="Calibri"/>
      <family val="2"/>
    </font>
    <font>
      <sz val="8.5"/>
      <color rgb="FFC00000"/>
      <name val="Calibri"/>
      <family val="2"/>
    </font>
    <font>
      <sz val="10.5"/>
      <color theme="1"/>
      <name val="Calibri"/>
      <family val="2"/>
    </font>
    <font>
      <b/>
      <sz val="11"/>
      <color theme="1"/>
      <name val="Calibri"/>
      <family val="2"/>
    </font>
    <font>
      <sz val="9"/>
      <color rgb="FFC00000"/>
      <name val="Calibri"/>
      <family val="2"/>
    </font>
  </fonts>
  <fills count="20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799996614456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0" tint="-0.14999000728130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399980008602142"/>
        <bgColor indexed="64"/>
      </patternFill>
    </fill>
    <fill>
      <patternFill patternType="solid">
        <fgColor theme="1" tint="0.49998000264167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4D4D4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3" tint="0.599990010261536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0" tint="-0.349979996681213"/>
        <bgColor indexed="64"/>
      </patternFill>
    </fill>
  </fills>
  <borders count="106">
    <border>
      <left/>
      <right/>
      <top/>
      <bottom/>
      <diagonal/>
    </border>
    <border>
      <left style="thin">
        <color theme="0" tint="-0.499969989061356"/>
      </left>
      <right style="thin">
        <color theme="0" tint="-0.499969989061356"/>
      </right>
      <top style="thin">
        <color theme="0" tint="-0.499969989061356"/>
      </top>
      <bottom style="thin">
        <color theme="0" tint="-0.499969989061356"/>
      </bottom>
    </border>
    <border>
      <left/>
      <right/>
      <top/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/>
    </border>
    <border>
      <left/>
      <right style="thin">
        <color theme="1" tint="0.499980002641678"/>
      </right>
      <top/>
      <bottom/>
    </border>
    <border>
      <left/>
      <right style="thin">
        <color theme="1" tint="0.499980002641678"/>
      </right>
      <top/>
      <bottom style="thin">
        <color theme="1" tint="0.499980002641678"/>
      </bottom>
    </border>
    <border>
      <left style="thin">
        <color auto="1"/>
      </left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theme="1" tint="0.499980002641678"/>
      </left>
      <right/>
      <top/>
      <bottom/>
    </border>
    <border>
      <left/>
      <right style="thin">
        <color auto="1"/>
      </right>
      <top/>
      <bottom style="thin">
        <color auto="1"/>
      </bottom>
    </border>
    <border>
      <left/>
      <right/>
      <top style="thin">
        <color theme="1" tint="0.499980002641678"/>
      </top>
      <bottom/>
    </border>
    <border>
      <left/>
      <right style="thin">
        <color theme="1" tint="0.499980002641678"/>
      </right>
      <top style="thin">
        <color theme="1" tint="0.499980002641678"/>
      </top>
      <bottom/>
    </border>
    <border>
      <left/>
      <right/>
      <top/>
      <bottom style="thin">
        <color theme="1" tint="0.499980002641678"/>
      </bottom>
    </border>
    <border>
      <left style="thin">
        <color theme="1" tint="0.499980002641678"/>
      </left>
      <right style="thin">
        <color theme="1" tint="0.499980002641678"/>
      </right>
      <top style="thin">
        <color theme="1" tint="0.499980002641678"/>
      </top>
      <bottom style="thin">
        <color theme="1" tint="0.499980002641678"/>
      </bottom>
    </border>
    <border>
      <left style="thin">
        <color theme="1" tint="0.499980002641678"/>
      </left>
      <right/>
      <top style="thin">
        <color theme="1" tint="0.499980002641678"/>
      </top>
      <bottom/>
    </border>
    <border>
      <left style="thin">
        <color theme="1" tint="0.499980002641678"/>
      </left>
      <right/>
      <top/>
      <bottom style="thin">
        <color theme="1" tint="0.499980002641678"/>
      </bottom>
    </border>
    <border>
      <left style="thin">
        <color theme="0" tint="-0.499969989061356"/>
      </left>
      <right style="thin">
        <color theme="0" tint="-0.499969989061356"/>
      </right>
      <top style="thin">
        <color theme="0" tint="-0.499969989061356"/>
      </top>
      <bottom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theme="1" tint="0.499980002641678"/>
      </left>
      <right/>
      <top style="thin">
        <color theme="1" tint="0.499980002641678"/>
      </top>
      <bottom style="thin">
        <color theme="1" tint="0.499980002641678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/>
      <right/>
      <top style="thin">
        <color theme="0" tint="-0.499969989061356"/>
      </top>
      <bottom style="thin">
        <color theme="0" tint="-0.499969989061356"/>
      </bottom>
    </border>
    <border>
      <left/>
      <right/>
      <top/>
      <bottom style="thin">
        <color theme="0" tint="-0.499969989061356"/>
      </bottom>
    </border>
    <border>
      <left/>
      <right style="thin">
        <color theme="1" tint="0.499980002641678"/>
      </right>
      <top style="thin">
        <color theme="1" tint="0.499980002641678"/>
      </top>
      <bottom style="thin">
        <color theme="1" tint="0.49998000264167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 style="thin">
        <color theme="0" tint="-0.499969989061356"/>
      </top>
      <bottom style="thin">
        <color auto="1"/>
      </bottom>
    </border>
    <border>
      <left style="thin">
        <color theme="0" tint="-0.499969989061356"/>
      </left>
      <right/>
      <top/>
      <bottom/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 style="medium">
        <color auto="1"/>
      </left>
      <right/>
      <top/>
      <bottom/>
    </border>
    <border>
      <left/>
      <right style="medium">
        <color auto="1"/>
      </right>
      <top/>
      <bottom/>
    </border>
    <border>
      <left style="medium">
        <color auto="1"/>
      </left>
      <right/>
      <top/>
      <bottom style="medium">
        <color auto="1"/>
      </bottom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 style="thin">
        <color theme="0" tint="-0.499969989061356"/>
      </left>
      <right style="thin">
        <color theme="0" tint="-0.499969989061356"/>
      </right>
      <top/>
      <bottom/>
    </border>
    <border>
      <left style="thin">
        <color theme="0" tint="-0.499969989061356"/>
      </left>
      <right/>
      <top style="thin">
        <color theme="0" tint="-0.499969989061356"/>
      </top>
      <bottom style="thin">
        <color theme="0" tint="-0.499969989061356"/>
      </bottom>
    </border>
    <border>
      <left style="thin">
        <color theme="0" tint="-0.499969989061356"/>
      </left>
      <right style="thin">
        <color theme="0" tint="-0.499969989061356"/>
      </right>
      <top style="thin">
        <color theme="0" tint="-0.499969989061356"/>
      </top>
      <bottom style="thin">
        <color auto="1"/>
      </bottom>
    </border>
    <border>
      <left style="thin">
        <color theme="0" tint="-0.499969989061356"/>
      </left>
      <right style="thin">
        <color auto="1"/>
      </right>
      <top style="thin">
        <color theme="0" tint="-0.499969989061356"/>
      </top>
      <bottom style="thin">
        <color auto="1"/>
      </bottom>
    </border>
    <border>
      <left/>
      <right/>
      <top style="thin">
        <color theme="1" tint="0.499980002641678"/>
      </top>
      <bottom style="thin">
        <color theme="0" tint="-0.499969989061356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medium">
        <color auto="1"/>
      </bottom>
    </border>
    <border>
      <left/>
      <right/>
      <top style="thin">
        <color auto="1"/>
      </top>
      <bottom style="medium">
        <color auto="1"/>
      </bottom>
    </border>
    <border>
      <left style="medium">
        <color theme="0" tint="-0.499969989061356"/>
      </left>
      <right style="medium">
        <color theme="0" tint="-0.499969989061356"/>
      </right>
      <top style="thin">
        <color theme="0" tint="-0.499969989061356"/>
      </top>
      <bottom style="thin">
        <color theme="0" tint="-0.499969989061356"/>
      </bottom>
    </border>
    <border>
      <left style="medium">
        <color theme="1" tint="0.499980002641678"/>
      </left>
      <right style="thin">
        <color theme="1" tint="0.499980002641678"/>
      </right>
      <top style="thin">
        <color theme="1" tint="0.499980002641678"/>
      </top>
      <bottom style="thin">
        <color theme="1" tint="0.499980002641678"/>
      </bottom>
    </border>
    <border>
      <left style="thin">
        <color theme="1" tint="0.499980002641678"/>
      </left>
      <right style="medium">
        <color theme="1" tint="0.499980002641678"/>
      </right>
      <top style="thin">
        <color theme="1" tint="0.499980002641678"/>
      </top>
      <bottom style="thin">
        <color theme="1" tint="0.499980002641678"/>
      </bottom>
    </border>
    <border>
      <left style="thin">
        <color theme="0" tint="-0.499969989061356"/>
      </left>
      <right style="thin">
        <color auto="1"/>
      </right>
      <top style="thin">
        <color theme="0" tint="-0.499969989061356"/>
      </top>
      <bottom/>
    </border>
    <border>
      <left style="thin">
        <color auto="1"/>
      </left>
      <right style="thin">
        <color theme="0" tint="-0.499969989061356"/>
      </right>
      <top style="thin">
        <color theme="0" tint="-0.499969989061356"/>
      </top>
      <bottom/>
    </border>
    <border>
      <left style="thin">
        <color theme="0" tint="-0.499969989061356"/>
      </left>
      <right style="thin">
        <color auto="1"/>
      </right>
      <top style="thin">
        <color theme="0" tint="-0.499969989061356"/>
      </top>
      <bottom style="thin">
        <color theme="0" tint="-0.499969989061356"/>
      </bottom>
    </border>
    <border>
      <left style="thin">
        <color auto="1"/>
      </left>
      <right style="thin">
        <color theme="0" tint="-0.499969989061356"/>
      </right>
      <top style="thin">
        <color theme="0" tint="-0.499969989061356"/>
      </top>
      <bottom style="thin">
        <color theme="0" tint="-0.499969989061356"/>
      </bottom>
    </border>
    <border>
      <left style="medium">
        <color theme="0" tint="-0.499969989061356"/>
      </left>
      <right style="medium">
        <color theme="0" tint="-0.499969989061356"/>
      </right>
      <top style="medium">
        <color theme="0" tint="-0.499969989061356"/>
      </top>
      <bottom style="thin">
        <color theme="0" tint="-0.499969989061356"/>
      </bottom>
    </border>
    <border>
      <left/>
      <right style="medium">
        <color theme="0" tint="-0.499969989061356"/>
      </right>
      <top/>
      <bottom style="medium">
        <color theme="0" tint="-0.499969989061356"/>
      </bottom>
    </border>
    <border>
      <left style="medium">
        <color auto="1"/>
      </left>
      <right style="medium">
        <color auto="1"/>
      </right>
      <top/>
      <bottom style="medium">
        <color auto="1"/>
      </bottom>
    </border>
    <border>
      <left/>
      <right style="medium">
        <color theme="0" tint="-0.499969989061356"/>
      </right>
      <top style="medium">
        <color theme="0" tint="-0.499969989061356"/>
      </top>
      <bottom/>
    </border>
    <border>
      <left style="medium">
        <color theme="0" tint="-0.499969989061356"/>
      </left>
      <right/>
      <top/>
      <bottom style="medium">
        <color theme="0" tint="-0.499969989061356"/>
      </bottom>
    </border>
    <border>
      <left style="medium">
        <color theme="1" tint="0.499980002641678"/>
      </left>
      <right/>
      <top style="medium">
        <color theme="1" tint="0.499980002641678"/>
      </top>
      <bottom/>
    </border>
    <border>
      <left/>
      <right/>
      <top style="medium">
        <color theme="1" tint="0.499980002641678"/>
      </top>
      <bottom/>
    </border>
    <border>
      <left/>
      <right style="medium">
        <color theme="1" tint="0.499980002641678"/>
      </right>
      <top style="medium">
        <color theme="1" tint="0.499980002641678"/>
      </top>
      <bottom/>
    </border>
    <border>
      <left/>
      <right/>
      <top/>
      <bottom style="medium">
        <color theme="1" tint="0.499980002641678"/>
      </bottom>
    </border>
    <border>
      <left style="medium">
        <color auto="1"/>
      </left>
      <right style="medium">
        <color auto="1"/>
      </right>
      <top style="medium">
        <color auto="1"/>
      </top>
      <bottom/>
    </border>
    <border>
      <left style="medium">
        <color theme="1" tint="0.499980002641678"/>
      </left>
      <right style="thin">
        <color theme="1" tint="0.499980002641678"/>
      </right>
      <top style="medium">
        <color theme="1" tint="0.499980002641678"/>
      </top>
      <bottom style="thin">
        <color theme="1" tint="0.499980002641678"/>
      </bottom>
    </border>
    <border>
      <left style="thin">
        <color theme="1" tint="0.499980002641678"/>
      </left>
      <right/>
      <top style="medium">
        <color theme="1" tint="0.499980002641678"/>
      </top>
      <bottom style="thin">
        <color theme="1" tint="0.499980002641678"/>
      </bottom>
    </border>
    <border>
      <left style="thin">
        <color theme="1" tint="0.499980002641678"/>
      </left>
      <right style="medium">
        <color theme="1" tint="0.499980002641678"/>
      </right>
      <top style="medium">
        <color theme="1" tint="0.499980002641678"/>
      </top>
      <bottom style="thin">
        <color theme="1" tint="0.499980002641678"/>
      </bottom>
    </border>
    <border>
      <left/>
      <right style="thin">
        <color theme="1" tint="0.499980002641678"/>
      </right>
      <top style="medium">
        <color theme="1" tint="0.499980002641678"/>
      </top>
      <bottom style="thin">
        <color theme="1" tint="0.499980002641678"/>
      </bottom>
    </border>
    <border>
      <left style="thin">
        <color theme="1" tint="0.499980002641678"/>
      </left>
      <right style="thin">
        <color theme="1" tint="0.499980002641678"/>
      </right>
      <top style="medium">
        <color theme="1" tint="0.499980002641678"/>
      </top>
      <bottom style="thin">
        <color theme="1" tint="0.499980002641678"/>
      </bottom>
    </border>
    <border>
      <left style="thin">
        <color auto="1"/>
      </left>
      <right style="thin">
        <color theme="0" tint="-0.499969989061356"/>
      </right>
      <top style="thin">
        <color auto="1"/>
      </top>
      <bottom style="thin">
        <color theme="0" tint="-0.499969989061356"/>
      </bottom>
    </border>
    <border>
      <left style="thin">
        <color theme="0" tint="-0.499969989061356"/>
      </left>
      <right style="thin">
        <color theme="0" tint="-0.499969989061356"/>
      </right>
      <top style="thin">
        <color auto="1"/>
      </top>
      <bottom style="thin">
        <color theme="0" tint="-0.499969989061356"/>
      </bottom>
    </border>
    <border>
      <left style="thin">
        <color theme="0" tint="-0.499969989061356"/>
      </left>
      <right style="thin">
        <color auto="1"/>
      </right>
      <top style="thin">
        <color auto="1"/>
      </top>
      <bottom style="thin">
        <color theme="0" tint="-0.499969989061356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theme="0" tint="-0.499969989061356"/>
      </right>
      <top/>
      <bottom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/>
      <top style="medium">
        <color auto="1"/>
      </top>
      <bottom style="thin">
        <color auto="1"/>
      </bottom>
    </border>
    <border>
      <left/>
      <right/>
      <top style="medium">
        <color auto="1"/>
      </top>
      <bottom style="thin">
        <color auto="1"/>
      </bottom>
    </border>
    <border>
      <left/>
      <right style="thin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medium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theme="0" tint="-0.499969989061356"/>
      </left>
      <right/>
      <top style="thin">
        <color theme="0" tint="-0.499969989061356"/>
      </top>
      <bottom/>
    </border>
    <border>
      <left/>
      <right style="thin">
        <color theme="0" tint="-0.499969989061356"/>
      </right>
      <top style="thin">
        <color theme="0" tint="-0.499969989061356"/>
      </top>
      <bottom/>
    </border>
    <border>
      <left style="thin">
        <color theme="0" tint="-0.499969989061356"/>
      </left>
      <right/>
      <top/>
      <bottom style="thin">
        <color theme="0" tint="-0.499969989061356"/>
      </bottom>
    </border>
    <border>
      <left/>
      <right style="thin">
        <color theme="0" tint="-0.499969989061356"/>
      </right>
      <top/>
      <bottom style="thin">
        <color theme="0" tint="-0.499969989061356"/>
      </bottom>
    </border>
    <border>
      <left/>
      <right style="thin">
        <color theme="0" tint="-0.499969989061356"/>
      </right>
      <top style="thin">
        <color theme="0" tint="-0.499969989061356"/>
      </top>
      <bottom style="thin">
        <color theme="0" tint="-0.499969989061356"/>
      </bottom>
    </border>
    <border>
      <left style="medium">
        <color auto="1"/>
      </left>
      <right style="medium">
        <color auto="1"/>
      </right>
      <top/>
      <bottom/>
    </border>
    <border>
      <left/>
      <right/>
      <top/>
      <bottom style="medium">
        <color theme="0" tint="-0.499969989061356"/>
      </bottom>
    </border>
    <border>
      <left style="medium">
        <color theme="0" tint="-0.499969989061356"/>
      </left>
      <right/>
      <top style="medium">
        <color theme="0" tint="-0.499969989061356"/>
      </top>
      <bottom/>
    </border>
    <border>
      <left/>
      <right/>
      <top style="medium">
        <color theme="0" tint="-0.499969989061356"/>
      </top>
      <bottom/>
    </border>
    <border>
      <left style="medium">
        <color theme="1" tint="0.499980002641678"/>
      </left>
      <right/>
      <top/>
      <bottom style="medium">
        <color theme="1" tint="0.499980002641678"/>
      </bottom>
    </border>
    <border>
      <left/>
      <right style="medium">
        <color theme="1" tint="0.499980002641678"/>
      </right>
      <top/>
      <bottom style="medium">
        <color theme="1" tint="0.499980002641678"/>
      </bottom>
    </border>
  </borders>
  <cellStyleXfs count="213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2" fillId="0" borderId="0" applyNumberFormat="0" applyFill="0" applyBorder="0">
      <alignment/>
      <protection locked="0"/>
    </xf>
    <xf numFmtId="0" fontId="2" fillId="0" borderId="0" applyNumberFormat="0" applyFill="0" applyBorder="0">
      <alignment/>
      <protection locked="0"/>
    </xf>
    <xf numFmtId="0" fontId="4" fillId="0" borderId="0" applyNumberForma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" fillId="0" borderId="0">
      <alignment/>
      <protection/>
    </xf>
    <xf numFmtId="0" fontId="1" fillId="0" borderId="0">
      <alignment/>
      <protection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4" fillId="0" borderId="0" applyNumberFormat="0" applyFill="0" applyBorder="0" applyAlignment="0" applyProtection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1" fillId="0" borderId="0">
      <alignment/>
      <protection/>
    </xf>
    <xf numFmtId="0" fontId="1" fillId="0" borderId="0">
      <alignment/>
      <protection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" fillId="0" borderId="0">
      <alignment/>
      <protection/>
    </xf>
    <xf numFmtId="0" fontId="0" fillId="0" borderId="0" applyFill="0">
      <alignment/>
      <protection/>
    </xf>
    <xf numFmtId="43" fontId="0" fillId="0" borderId="0" applyFont="0" applyFill="0" applyBorder="0" applyAlignment="0" applyProtection="0"/>
    <xf numFmtId="0" fontId="45" fillId="2" borderId="0" applyNumberFormat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3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0" fontId="5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2" fillId="0" borderId="0" applyNumberFormat="0" applyFill="0" applyBorder="0">
      <alignment/>
      <protection locked="0"/>
    </xf>
    <xf numFmtId="0" fontId="2" fillId="0" borderId="0" applyNumberFormat="0" applyFill="0" applyBorder="0">
      <alignment/>
      <protection locked="0"/>
    </xf>
    <xf numFmtId="0" fontId="0" fillId="0" borderId="0">
      <alignment/>
      <protection/>
    </xf>
    <xf numFmtId="0" fontId="1" fillId="0" borderId="0">
      <alignment/>
      <protection/>
    </xf>
    <xf numFmtId="0" fontId="1" fillId="0" borderId="0">
      <alignment/>
      <protection/>
    </xf>
    <xf numFmtId="44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0" fontId="4" fillId="0" borderId="0" applyNumberFormat="0" applyFill="0" applyBorder="0" applyAlignment="0" applyProtection="0"/>
    <xf numFmtId="44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3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4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4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4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" fillId="0" borderId="0">
      <alignment/>
      <protection/>
    </xf>
    <xf numFmtId="0" fontId="1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</cellStyleXfs>
  <cellXfs count="652">
    <xf numFmtId="0" fontId="0" fillId="0" borderId="0" xfId="0"/>
    <xf numFmtId="0" fontId="6" fillId="0" borderId="0" xfId="0" applyFont="1"/>
    <xf numFmtId="0" fontId="6" fillId="0" borderId="0" xfId="0" applyFont="1" applyAlignment="1">
      <alignment wrapText="1"/>
    </xf>
    <xf numFmtId="0" fontId="6" fillId="0" borderId="0" xfId="0" applyFont="1" quotePrefix="1"/>
    <xf numFmtId="49" fontId="6" fillId="3" borderId="0" xfId="0" applyNumberFormat="1" applyFont="1" applyFill="1" applyProtection="1">
      <protection hidden="1"/>
    </xf>
    <xf numFmtId="49" fontId="6" fillId="3" borderId="0" xfId="0" applyNumberFormat="1" applyFont="1" applyFill="1" applyAlignment="1" applyProtection="1">
      <alignment vertical="center"/>
      <protection hidden="1"/>
    </xf>
    <xf numFmtId="49" fontId="6" fillId="3" borderId="0" xfId="0" applyNumberFormat="1" applyFont="1" applyFill="1" applyAlignment="1" applyProtection="1">
      <alignment horizontal="right" indent="1"/>
      <protection hidden="1"/>
    </xf>
    <xf numFmtId="0" fontId="6" fillId="3" borderId="0" xfId="0" applyFont="1" applyFill="1" applyProtection="1">
      <protection hidden="1"/>
    </xf>
    <xf numFmtId="0" fontId="6" fillId="3" borderId="0" xfId="0" applyFont="1" applyFill="1" applyAlignment="1" applyProtection="1">
      <alignment vertical="center"/>
      <protection hidden="1"/>
    </xf>
    <xf numFmtId="0" fontId="6" fillId="3" borderId="0" xfId="0" applyFont="1" applyFill="1" applyAlignment="1" applyProtection="1">
      <alignment horizontal="center"/>
      <protection hidden="1"/>
    </xf>
    <xf numFmtId="0" fontId="10" fillId="3" borderId="0" xfId="0" applyFont="1" applyFill="1" applyAlignment="1" applyProtection="1">
      <alignment horizontal="right" vertical="center"/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4" borderId="0" xfId="0" applyFont="1" applyFill="1" applyAlignment="1" applyProtection="1">
      <alignment horizontal="center"/>
      <protection hidden="1"/>
    </xf>
    <xf numFmtId="0" fontId="6" fillId="0" borderId="0" xfId="0" applyFont="1" applyProtection="1" quotePrefix="1">
      <protection hidden="1"/>
    </xf>
    <xf numFmtId="0" fontId="7" fillId="0" borderId="0" xfId="0" applyFont="1" applyProtection="1"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vertical="top"/>
      <protection hidden="1"/>
    </xf>
    <xf numFmtId="0" fontId="7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vertical="top"/>
      <protection hidden="1"/>
    </xf>
    <xf numFmtId="0" fontId="7" fillId="0" borderId="0" xfId="0" applyFont="1" applyAlignment="1" applyProtection="1">
      <alignment horizontal="right" vertical="center"/>
      <protection hidden="1"/>
    </xf>
    <xf numFmtId="0" fontId="14" fillId="0" borderId="0" xfId="0" applyFont="1" applyProtection="1">
      <protection hidden="1"/>
    </xf>
    <xf numFmtId="49" fontId="17" fillId="5" borderId="0" xfId="0" applyNumberFormat="1" applyFont="1" applyFill="1" applyAlignment="1" applyProtection="1">
      <alignment horizontal="right"/>
      <protection hidden="1"/>
    </xf>
    <xf numFmtId="49" fontId="29" fillId="6" borderId="1" xfId="0" applyNumberFormat="1" applyFont="1" applyFill="1" applyBorder="1" applyAlignment="1" applyProtection="1">
      <alignment horizontal="center" vertical="center"/>
      <protection locked="0"/>
    </xf>
    <xf numFmtId="49" fontId="17" fillId="5" borderId="0" xfId="0" applyNumberFormat="1" applyFont="1" applyFill="1" applyAlignment="1" applyProtection="1">
      <alignment horizontal="left" vertical="center"/>
      <protection hidden="1"/>
    </xf>
    <xf numFmtId="164" fontId="42" fillId="0" borderId="1" xfId="16" applyFont="1" applyFill="1" applyBorder="1" applyAlignment="1" applyProtection="1">
      <alignment horizontal="center" vertical="center" wrapText="1"/>
      <protection locked="0"/>
    </xf>
    <xf numFmtId="49" fontId="17" fillId="5" borderId="0" xfId="0" applyNumberFormat="1" applyFont="1" applyFill="1" applyAlignment="1" applyProtection="1">
      <alignment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locked="0"/>
    </xf>
    <xf numFmtId="49" fontId="17" fillId="5" borderId="0" xfId="0" applyNumberFormat="1" applyFont="1" applyFill="1" applyAlignment="1" applyProtection="1">
      <alignment horizontal="right" vertical="center" indent="1"/>
      <protection hidden="1"/>
    </xf>
    <xf numFmtId="49" fontId="6" fillId="3" borderId="0" xfId="0" applyNumberFormat="1" applyFont="1" applyFill="1" applyAlignment="1" applyProtection="1">
      <alignment horizontal="right"/>
      <protection hidden="1"/>
    </xf>
    <xf numFmtId="0" fontId="24" fillId="0" borderId="0" xfId="49" applyFont="1" applyAlignment="1">
      <alignment vertical="center"/>
      <protection/>
    </xf>
    <xf numFmtId="0" fontId="23" fillId="0" borderId="0" xfId="49" applyFont="1" applyAlignment="1">
      <alignment vertical="center"/>
      <protection/>
    </xf>
    <xf numFmtId="49" fontId="7" fillId="5" borderId="0" xfId="0" applyNumberFormat="1" applyFont="1" applyFill="1" applyAlignment="1" applyProtection="1">
      <alignment horizontal="right" vertical="center"/>
      <protection hidden="1"/>
    </xf>
    <xf numFmtId="49" fontId="6" fillId="5" borderId="2" xfId="0" applyNumberFormat="1" applyFont="1" applyFill="1" applyBorder="1" applyProtection="1">
      <protection hidden="1"/>
    </xf>
    <xf numFmtId="49" fontId="7" fillId="5" borderId="3" xfId="0" applyNumberFormat="1" applyFont="1" applyFill="1" applyBorder="1" applyAlignment="1" applyProtection="1">
      <alignment horizontal="right" vertical="center"/>
      <protection hidden="1"/>
    </xf>
    <xf numFmtId="49" fontId="6" fillId="5" borderId="4" xfId="0" applyNumberFormat="1" applyFont="1" applyFill="1" applyBorder="1" applyProtection="1">
      <protection hidden="1"/>
    </xf>
    <xf numFmtId="49" fontId="7" fillId="5" borderId="5" xfId="0" applyNumberFormat="1" applyFont="1" applyFill="1" applyBorder="1" applyAlignment="1" applyProtection="1">
      <alignment horizontal="right" vertical="center"/>
      <protection hidden="1"/>
    </xf>
    <xf numFmtId="49" fontId="6" fillId="5" borderId="2" xfId="0" applyNumberFormat="1" applyFont="1" applyFill="1" applyBorder="1" applyAlignment="1" applyProtection="1">
      <alignment horizontal="left" vertical="center"/>
      <protection hidden="1"/>
    </xf>
    <xf numFmtId="49" fontId="6" fillId="5" borderId="4" xfId="0" applyNumberFormat="1" applyFont="1" applyFill="1" applyBorder="1" applyAlignment="1" applyProtection="1">
      <alignment vertical="center"/>
      <protection hidden="1"/>
    </xf>
    <xf numFmtId="49" fontId="6" fillId="0" borderId="0" xfId="0" applyNumberFormat="1" applyFont="1" applyAlignment="1" applyProtection="1">
      <alignment vertical="center"/>
      <protection hidden="1"/>
    </xf>
    <xf numFmtId="49" fontId="6" fillId="5" borderId="6" xfId="0" applyNumberFormat="1" applyFont="1" applyFill="1" applyBorder="1" applyProtection="1">
      <protection hidden="1"/>
    </xf>
    <xf numFmtId="49" fontId="6" fillId="5" borderId="7" xfId="0" applyNumberFormat="1" applyFont="1" applyFill="1" applyBorder="1" applyProtection="1">
      <protection hidden="1"/>
    </xf>
    <xf numFmtId="0" fontId="41" fillId="0" borderId="0" xfId="49" applyFont="1" applyAlignment="1">
      <alignment horizontal="right" vertical="center"/>
      <protection/>
    </xf>
    <xf numFmtId="49" fontId="6" fillId="0" borderId="0" xfId="0" applyNumberFormat="1" applyFont="1" applyProtection="1">
      <protection hidden="1"/>
    </xf>
    <xf numFmtId="49" fontId="17" fillId="5" borderId="0" xfId="0" applyNumberFormat="1" applyFont="1" applyFill="1" applyAlignment="1" applyProtection="1">
      <alignment horizontal="right" vertical="center" wrapText="1" indent="1"/>
      <protection hidden="1"/>
    </xf>
    <xf numFmtId="49" fontId="29" fillId="5" borderId="0" xfId="0" applyNumberFormat="1" applyFont="1" applyFill="1" applyAlignment="1" applyProtection="1">
      <alignment horizontal="center" vertical="center"/>
      <protection hidden="1"/>
    </xf>
    <xf numFmtId="0" fontId="43" fillId="5" borderId="0" xfId="0" applyFont="1" applyFill="1" applyAlignment="1" applyProtection="1" quotePrefix="1">
      <alignment horizontal="left" wrapText="1" indent="1"/>
      <protection hidden="1"/>
    </xf>
    <xf numFmtId="49" fontId="26" fillId="5" borderId="0" xfId="0" applyNumberFormat="1" applyFont="1" applyFill="1" applyProtection="1">
      <protection hidden="1"/>
    </xf>
    <xf numFmtId="49" fontId="17" fillId="5" borderId="5" xfId="49" applyNumberFormat="1" applyFont="1" applyFill="1" applyBorder="1" applyAlignment="1" applyProtection="1">
      <alignment horizontal="right" vertical="center" indent="1"/>
      <protection hidden="1"/>
    </xf>
    <xf numFmtId="49" fontId="17" fillId="6" borderId="1" xfId="49" applyNumberFormat="1" applyFont="1" applyFill="1" applyBorder="1" applyAlignment="1" applyProtection="1">
      <alignment horizontal="center" vertical="center"/>
      <protection locked="0"/>
    </xf>
    <xf numFmtId="49" fontId="17" fillId="5" borderId="0" xfId="49" applyNumberFormat="1" applyFont="1" applyFill="1" applyAlignment="1" applyProtection="1">
      <alignment horizontal="left" vertical="center"/>
      <protection hidden="1"/>
    </xf>
    <xf numFmtId="49" fontId="17" fillId="5" borderId="0" xfId="49" applyNumberFormat="1" applyFont="1" applyFill="1" applyAlignment="1" applyProtection="1">
      <alignment horizontal="right" vertical="center" indent="1"/>
      <protection hidden="1"/>
    </xf>
    <xf numFmtId="49" fontId="6" fillId="5" borderId="8" xfId="0" applyNumberFormat="1" applyFont="1" applyFill="1" applyBorder="1" applyAlignment="1" applyProtection="1">
      <alignment horizontal="right" indent="1"/>
      <protection hidden="1"/>
    </xf>
    <xf numFmtId="49" fontId="17" fillId="5" borderId="9" xfId="0" applyNumberFormat="1" applyFont="1" applyFill="1" applyBorder="1" applyAlignment="1" applyProtection="1">
      <alignment horizontal="center"/>
      <protection hidden="1"/>
    </xf>
    <xf numFmtId="49" fontId="6" fillId="5" borderId="2" xfId="0" applyNumberFormat="1" applyFont="1" applyFill="1" applyBorder="1" applyAlignment="1" applyProtection="1">
      <alignment wrapText="1"/>
      <protection hidden="1"/>
    </xf>
    <xf numFmtId="49" fontId="6" fillId="5" borderId="8" xfId="0" applyNumberFormat="1" applyFont="1" applyFill="1" applyBorder="1" applyAlignment="1" applyProtection="1">
      <alignment horizontal="right"/>
      <protection hidden="1"/>
    </xf>
    <xf numFmtId="49" fontId="17" fillId="5" borderId="5" xfId="0" applyNumberFormat="1" applyFont="1" applyFill="1" applyBorder="1" applyAlignment="1" applyProtection="1">
      <alignment horizontal="right" vertical="center" indent="1"/>
      <protection hidden="1"/>
    </xf>
    <xf numFmtId="49" fontId="6" fillId="5" borderId="10" xfId="0" applyNumberFormat="1" applyFont="1" applyFill="1" applyBorder="1" applyProtection="1">
      <protection hidden="1"/>
    </xf>
    <xf numFmtId="49" fontId="17" fillId="5" borderId="11" xfId="49" applyNumberFormat="1" applyFont="1" applyFill="1" applyBorder="1" applyAlignment="1" applyProtection="1">
      <alignment horizontal="right" vertical="center" indent="1"/>
      <protection hidden="1"/>
    </xf>
    <xf numFmtId="49" fontId="7" fillId="5" borderId="11" xfId="49" applyNumberFormat="1" applyFont="1" applyFill="1" applyBorder="1" applyAlignment="1" applyProtection="1">
      <alignment horizontal="right" vertical="center"/>
      <protection hidden="1"/>
    </xf>
    <xf numFmtId="49" fontId="7" fillId="5" borderId="11" xfId="0" applyNumberFormat="1" applyFont="1" applyFill="1" applyBorder="1" applyAlignment="1" applyProtection="1">
      <alignment horizontal="right" vertical="center"/>
      <protection hidden="1"/>
    </xf>
    <xf numFmtId="49" fontId="6" fillId="5" borderId="9" xfId="0" applyNumberFormat="1" applyFont="1" applyFill="1" applyBorder="1" applyProtection="1">
      <protection hidden="1"/>
    </xf>
    <xf numFmtId="49" fontId="17" fillId="5" borderId="11" xfId="0" applyNumberFormat="1" applyFont="1" applyFill="1" applyBorder="1" applyAlignment="1" applyProtection="1">
      <alignment horizontal="right" vertical="center" indent="1"/>
      <protection hidden="1"/>
    </xf>
    <xf numFmtId="49" fontId="6" fillId="5" borderId="2" xfId="0" applyNumberFormat="1" applyFont="1" applyFill="1" applyBorder="1" applyAlignment="1" applyProtection="1">
      <alignment horizontal="right" indent="1"/>
      <protection hidden="1"/>
    </xf>
    <xf numFmtId="49" fontId="7" fillId="5" borderId="3" xfId="49" applyNumberFormat="1" applyFont="1" applyFill="1" applyBorder="1" applyAlignment="1" applyProtection="1">
      <alignment horizontal="right" vertical="center"/>
      <protection hidden="1"/>
    </xf>
    <xf numFmtId="49" fontId="6" fillId="5" borderId="12" xfId="0" applyNumberFormat="1" applyFont="1" applyFill="1" applyBorder="1" applyProtection="1">
      <protection hidden="1"/>
    </xf>
    <xf numFmtId="49" fontId="7" fillId="5" borderId="3" xfId="0" applyNumberFormat="1" applyFont="1" applyFill="1" applyBorder="1" applyAlignment="1" applyProtection="1">
      <alignment horizontal="left" vertical="center"/>
      <protection hidden="1"/>
    </xf>
    <xf numFmtId="49" fontId="6" fillId="5" borderId="9" xfId="0" applyNumberFormat="1" applyFont="1" applyFill="1" applyBorder="1" applyAlignment="1" applyProtection="1">
      <alignment horizontal="center"/>
      <protection hidden="1"/>
    </xf>
    <xf numFmtId="0" fontId="15" fillId="5" borderId="9" xfId="0" applyFont="1" applyFill="1" applyBorder="1" applyAlignment="1" applyProtection="1" quotePrefix="1">
      <alignment wrapText="1"/>
      <protection hidden="1"/>
    </xf>
    <xf numFmtId="0" fontId="43" fillId="5" borderId="2" xfId="0" applyFont="1" applyFill="1" applyBorder="1" applyAlignment="1" applyProtection="1" quotePrefix="1">
      <alignment horizontal="center" vertical="center" wrapText="1"/>
      <protection hidden="1"/>
    </xf>
    <xf numFmtId="49" fontId="6" fillId="5" borderId="12" xfId="0" applyNumberFormat="1" applyFont="1" applyFill="1" applyBorder="1" applyAlignment="1" applyProtection="1">
      <alignment vertical="center"/>
      <protection hidden="1"/>
    </xf>
    <xf numFmtId="49" fontId="6" fillId="3" borderId="2" xfId="0" applyNumberFormat="1" applyFont="1" applyFill="1" applyBorder="1" applyAlignment="1" applyProtection="1">
      <alignment horizontal="right" indent="1"/>
      <protection hidden="1"/>
    </xf>
    <xf numFmtId="49" fontId="6" fillId="0" borderId="2" xfId="0" applyNumberFormat="1" applyFont="1" applyBorder="1" applyAlignment="1" applyProtection="1">
      <alignment horizontal="left" vertical="center"/>
      <protection hidden="1"/>
    </xf>
    <xf numFmtId="49" fontId="6" fillId="3" borderId="2" xfId="0" applyNumberFormat="1" applyFont="1" applyFill="1" applyBorder="1" applyProtection="1">
      <protection hidden="1"/>
    </xf>
    <xf numFmtId="49" fontId="17" fillId="5" borderId="13" xfId="0" applyNumberFormat="1" applyFont="1" applyFill="1" applyBorder="1" applyProtection="1">
      <protection hidden="1"/>
    </xf>
    <xf numFmtId="49" fontId="17" fillId="5" borderId="14" xfId="0" applyNumberFormat="1" applyFont="1" applyFill="1" applyBorder="1" applyProtection="1">
      <protection hidden="1"/>
    </xf>
    <xf numFmtId="49" fontId="17" fillId="5" borderId="6" xfId="0" applyNumberFormat="1" applyFont="1" applyFill="1" applyBorder="1" applyProtection="1">
      <protection hidden="1"/>
    </xf>
    <xf numFmtId="49" fontId="17" fillId="5" borderId="0" xfId="0" applyNumberFormat="1" applyFont="1" applyFill="1" applyProtection="1">
      <protection hidden="1"/>
    </xf>
    <xf numFmtId="49" fontId="17" fillId="5" borderId="15" xfId="0" applyNumberFormat="1" applyFont="1" applyFill="1" applyBorder="1" applyAlignment="1" applyProtection="1">
      <alignment wrapText="1"/>
      <protection hidden="1"/>
    </xf>
    <xf numFmtId="49" fontId="17" fillId="5" borderId="15" xfId="0" applyNumberFormat="1" applyFont="1" applyFill="1" applyBorder="1" applyProtection="1">
      <protection hidden="1"/>
    </xf>
    <xf numFmtId="49" fontId="17" fillId="5" borderId="7" xfId="0" applyNumberFormat="1" applyFont="1" applyFill="1" applyBorder="1" applyProtection="1">
      <protection hidden="1"/>
    </xf>
    <xf numFmtId="49" fontId="17" fillId="3" borderId="0" xfId="0" applyNumberFormat="1" applyFont="1" applyFill="1" applyProtection="1">
      <protection hidden="1"/>
    </xf>
    <xf numFmtId="49" fontId="17" fillId="5" borderId="0" xfId="0" applyNumberFormat="1" applyFont="1" applyFill="1" applyAlignment="1" applyProtection="1">
      <alignment horizontal="centerContinuous"/>
      <protection hidden="1"/>
    </xf>
    <xf numFmtId="49" fontId="17" fillId="5" borderId="0" xfId="0" applyNumberFormat="1" applyFont="1" applyFill="1" applyAlignment="1" applyProtection="1">
      <alignment horizontal="left" vertical="center" indent="1"/>
      <protection hidden="1"/>
    </xf>
    <xf numFmtId="49" fontId="17" fillId="5" borderId="15" xfId="0" applyNumberFormat="1" applyFont="1" applyFill="1" applyBorder="1" applyAlignment="1" applyProtection="1">
      <alignment horizontal="right" indent="1"/>
      <protection hidden="1"/>
    </xf>
    <xf numFmtId="49" fontId="17" fillId="5" borderId="15" xfId="0" applyNumberFormat="1" applyFont="1" applyFill="1" applyBorder="1" applyAlignment="1" applyProtection="1">
      <alignment horizontal="left" vertical="center"/>
      <protection hidden="1"/>
    </xf>
    <xf numFmtId="49" fontId="17" fillId="5" borderId="6" xfId="0" applyNumberFormat="1" applyFont="1" applyFill="1" applyBorder="1" applyAlignment="1" applyProtection="1">
      <alignment vertical="center"/>
      <protection hidden="1"/>
    </xf>
    <xf numFmtId="49" fontId="17" fillId="5" borderId="15" xfId="0" applyNumberFormat="1" applyFont="1" applyFill="1" applyBorder="1" applyAlignment="1" applyProtection="1">
      <alignment horizontal="left"/>
      <protection hidden="1"/>
    </xf>
    <xf numFmtId="49" fontId="7" fillId="0" borderId="0" xfId="0" applyNumberFormat="1" applyFont="1" applyAlignment="1" applyProtection="1">
      <alignment horizontal="center"/>
      <protection hidden="1"/>
    </xf>
    <xf numFmtId="49" fontId="7" fillId="0" borderId="16" xfId="0" applyNumberFormat="1" applyFont="1" applyBorder="1" applyAlignment="1" applyProtection="1" quotePrefix="1">
      <alignment horizontal="center"/>
      <protection hidden="1"/>
    </xf>
    <xf numFmtId="49" fontId="7" fillId="0" borderId="0" xfId="0" applyNumberFormat="1" applyFont="1" applyProtection="1">
      <protection hidden="1"/>
    </xf>
    <xf numFmtId="49" fontId="6" fillId="0" borderId="16" xfId="0" applyNumberFormat="1" applyFont="1" applyBorder="1" applyAlignment="1" applyProtection="1" quotePrefix="1">
      <alignment horizontal="center"/>
      <protection hidden="1"/>
    </xf>
    <xf numFmtId="49" fontId="6" fillId="0" borderId="16" xfId="0" applyNumberFormat="1" applyFont="1" applyBorder="1" applyProtection="1">
      <protection hidden="1"/>
    </xf>
    <xf numFmtId="49" fontId="17" fillId="6" borderId="1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Alignment="1" applyProtection="1">
      <alignment horizontal="right"/>
      <protection hidden="1"/>
    </xf>
    <xf numFmtId="49" fontId="17" fillId="0" borderId="0" xfId="0" applyNumberFormat="1" applyFont="1" applyAlignment="1" applyProtection="1">
      <alignment horizontal="left"/>
      <protection hidden="1"/>
    </xf>
    <xf numFmtId="49" fontId="17" fillId="0" borderId="0" xfId="0" applyNumberFormat="1" applyFont="1" applyProtection="1">
      <protection hidden="1"/>
    </xf>
    <xf numFmtId="49" fontId="17" fillId="5" borderId="17" xfId="0" applyNumberFormat="1" applyFont="1" applyFill="1" applyBorder="1" applyProtection="1">
      <protection hidden="1"/>
    </xf>
    <xf numFmtId="49" fontId="7" fillId="5" borderId="11" xfId="0" applyNumberFormat="1" applyFont="1" applyFill="1" applyBorder="1" applyAlignment="1" applyProtection="1">
      <alignment horizontal="left" vertical="center"/>
      <protection hidden="1"/>
    </xf>
    <xf numFmtId="49" fontId="17" fillId="5" borderId="11" xfId="49" applyNumberFormat="1" applyFont="1" applyFill="1" applyBorder="1" applyAlignment="1" applyProtection="1">
      <alignment horizontal="center" vertical="center" wrapText="1"/>
      <protection hidden="1"/>
    </xf>
    <xf numFmtId="49" fontId="29" fillId="5" borderId="18" xfId="0" applyNumberFormat="1" applyFont="1" applyFill="1" applyBorder="1" applyAlignment="1" applyProtection="1">
      <alignment horizontal="right"/>
      <protection hidden="1"/>
    </xf>
    <xf numFmtId="49" fontId="17" fillId="5" borderId="18" xfId="0" applyNumberFormat="1" applyFont="1" applyFill="1" applyBorder="1" applyAlignment="1" applyProtection="1">
      <alignment horizontal="right" indent="1"/>
      <protection hidden="1"/>
    </xf>
    <xf numFmtId="49" fontId="29" fillId="5" borderId="11" xfId="0" applyNumberFormat="1" applyFont="1" applyFill="1" applyBorder="1" applyAlignment="1" applyProtection="1">
      <alignment horizontal="left" vertical="top"/>
      <protection hidden="1"/>
    </xf>
    <xf numFmtId="49" fontId="17" fillId="5" borderId="18" xfId="0" applyNumberFormat="1" applyFont="1" applyFill="1" applyBorder="1" applyAlignment="1" applyProtection="1">
      <alignment horizontal="right"/>
      <protection hidden="1"/>
    </xf>
    <xf numFmtId="0" fontId="20" fillId="0" borderId="0" xfId="0" applyFont="1"/>
    <xf numFmtId="0" fontId="17" fillId="6" borderId="19" xfId="49" applyFont="1" applyFill="1" applyBorder="1" applyAlignment="1" applyProtection="1">
      <alignment horizontal="center" vertical="center"/>
      <protection locked="0"/>
    </xf>
    <xf numFmtId="0" fontId="17" fillId="6" borderId="1" xfId="49" applyFont="1" applyFill="1" applyBorder="1" applyAlignment="1" applyProtection="1">
      <alignment horizontal="center" vertical="center"/>
      <protection locked="0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49" fontId="7" fillId="0" borderId="0" xfId="0" applyNumberFormat="1" applyFont="1" applyAlignment="1" applyProtection="1">
      <alignment horizontal="left"/>
      <protection hidden="1"/>
    </xf>
    <xf numFmtId="0" fontId="6" fillId="0" borderId="2" xfId="0" applyFont="1" applyBorder="1" applyAlignment="1">
      <alignment wrapText="1"/>
    </xf>
    <xf numFmtId="0" fontId="6" fillId="0" borderId="2" xfId="0" applyFont="1" applyBorder="1"/>
    <xf numFmtId="0" fontId="0" fillId="0" borderId="23" xfId="0" applyBorder="1"/>
    <xf numFmtId="0" fontId="0" fillId="0" borderId="24" xfId="0" applyBorder="1"/>
    <xf numFmtId="49" fontId="29" fillId="5" borderId="25" xfId="0" applyNumberFormat="1" applyFont="1" applyFill="1" applyBorder="1" applyAlignment="1" applyProtection="1">
      <alignment horizontal="center" vertical="center"/>
      <protection locked="0"/>
    </xf>
    <xf numFmtId="49" fontId="29" fillId="5" borderId="1" xfId="0" applyNumberFormat="1" applyFont="1" applyFill="1" applyBorder="1" applyAlignment="1" applyProtection="1">
      <alignment horizontal="center" vertical="center"/>
      <protection locked="0"/>
    </xf>
    <xf numFmtId="0" fontId="27" fillId="0" borderId="26" xfId="49" applyFont="1" applyBorder="1" applyAlignment="1">
      <alignment horizontal="center" vertical="center"/>
      <protection/>
    </xf>
    <xf numFmtId="0" fontId="27" fillId="0" borderId="26" xfId="49" applyFont="1" applyBorder="1" applyAlignment="1">
      <alignment horizontal="center" vertical="center" wrapText="1"/>
      <protection/>
    </xf>
    <xf numFmtId="0" fontId="23" fillId="0" borderId="2" xfId="49" applyFont="1" applyBorder="1" applyAlignment="1">
      <alignment vertical="center"/>
      <protection/>
    </xf>
    <xf numFmtId="0" fontId="6" fillId="0" borderId="9" xfId="0" applyFont="1" applyBorder="1" applyProtection="1">
      <protection hidden="1"/>
    </xf>
    <xf numFmtId="0" fontId="7" fillId="0" borderId="9" xfId="0" applyFont="1" applyBorder="1" applyProtection="1">
      <protection hidden="1"/>
    </xf>
    <xf numFmtId="0" fontId="6" fillId="0" borderId="0" xfId="0" applyFont="1" applyAlignment="1" applyProtection="1">
      <alignment horizontal="center"/>
      <protection hidden="1"/>
    </xf>
    <xf numFmtId="0" fontId="17" fillId="0" borderId="0" xfId="0" applyFont="1" applyProtection="1">
      <protection hidden="1"/>
    </xf>
    <xf numFmtId="0" fontId="17" fillId="0" borderId="0" xfId="0" applyFont="1" applyAlignment="1" applyProtection="1">
      <alignment vertical="center"/>
      <protection hidden="1"/>
    </xf>
    <xf numFmtId="0" fontId="17" fillId="0" borderId="16" xfId="0" applyFont="1" applyBorder="1" applyAlignment="1" applyProtection="1">
      <alignment horizontal="left" vertical="center" indent="1"/>
      <protection hidden="1"/>
    </xf>
    <xf numFmtId="0" fontId="17" fillId="0" borderId="0" xfId="0" applyFont="1" applyAlignment="1" applyProtection="1">
      <alignment horizontal="left" vertical="center" wrapText="1"/>
      <protection hidden="1"/>
    </xf>
    <xf numFmtId="0" fontId="17" fillId="0" borderId="0" xfId="0" applyFont="1" applyAlignment="1" applyProtection="1">
      <alignment horizontal="right" vertical="center"/>
      <protection hidden="1"/>
    </xf>
    <xf numFmtId="0" fontId="17" fillId="0" borderId="2" xfId="0" applyFont="1" applyBorder="1" applyProtection="1">
      <protection hidden="1"/>
    </xf>
    <xf numFmtId="0" fontId="17" fillId="0" borderId="9" xfId="0" applyFont="1" applyBorder="1" applyProtection="1">
      <protection hidden="1"/>
    </xf>
    <xf numFmtId="0" fontId="17" fillId="0" borderId="0" xfId="0" applyFont="1" applyAlignment="1" applyProtection="1">
      <alignment vertical="center" wrapText="1"/>
      <protection hidden="1"/>
    </xf>
    <xf numFmtId="0" fontId="29" fillId="0" borderId="0" xfId="0" applyFont="1" applyAlignment="1" applyProtection="1">
      <alignment vertical="center"/>
      <protection hidden="1"/>
    </xf>
    <xf numFmtId="1" fontId="17" fillId="6" borderId="27" xfId="0" applyNumberFormat="1" applyFont="1" applyFill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left" vertical="center" wrapText="1" indent="1"/>
      <protection hidden="1"/>
    </xf>
    <xf numFmtId="0" fontId="17" fillId="0" borderId="27" xfId="0" applyFont="1" applyBorder="1" applyAlignment="1" applyProtection="1">
      <alignment horizontal="center" vertical="center"/>
      <protection hidden="1"/>
    </xf>
    <xf numFmtId="0" fontId="17" fillId="0" borderId="27" xfId="0" applyFont="1" applyBorder="1" applyAlignment="1" applyProtection="1">
      <alignment horizontal="center" vertical="center" wrapText="1"/>
      <protection hidden="1"/>
    </xf>
    <xf numFmtId="1" fontId="17" fillId="0" borderId="27" xfId="0" applyNumberFormat="1" applyFont="1" applyBorder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horizontal="left" vertical="center"/>
      <protection hidden="1"/>
    </xf>
    <xf numFmtId="165" fontId="17" fillId="0" borderId="0" xfId="0" applyNumberFormat="1" applyFont="1" applyAlignment="1" applyProtection="1">
      <alignment vertical="center" wrapText="1"/>
      <protection hidden="1"/>
    </xf>
    <xf numFmtId="165" fontId="30" fillId="0" borderId="0" xfId="0" applyNumberFormat="1" applyFont="1" applyAlignment="1" applyProtection="1">
      <alignment horizontal="right" vertical="center"/>
      <protection hidden="1"/>
    </xf>
    <xf numFmtId="0" fontId="17" fillId="0" borderId="27" xfId="0" applyFont="1" applyBorder="1" applyAlignment="1" applyProtection="1">
      <alignment horizontal="left" vertical="center" indent="1"/>
      <protection hidden="1"/>
    </xf>
    <xf numFmtId="0" fontId="17" fillId="0" borderId="28" xfId="0" applyFont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left" vertical="center" inden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9" xfId="0" applyFont="1" applyBorder="1" applyAlignment="1" applyProtection="1">
      <alignment wrapText="1"/>
      <protection hidden="1"/>
    </xf>
    <xf numFmtId="0" fontId="17" fillId="0" borderId="27" xfId="0" applyFont="1" applyBorder="1" applyAlignment="1" applyProtection="1">
      <alignment horizontal="left" vertical="center"/>
      <protection hidden="1"/>
    </xf>
    <xf numFmtId="1" fontId="33" fillId="0" borderId="0" xfId="0" applyNumberFormat="1" applyFont="1" applyAlignment="1" applyProtection="1">
      <alignment vertical="center" wrapText="1"/>
      <protection hidden="1"/>
    </xf>
    <xf numFmtId="0" fontId="34" fillId="0" borderId="0" xfId="0" applyFont="1" applyAlignment="1" applyProtection="1">
      <alignment vertical="center"/>
      <protection hidden="1"/>
    </xf>
    <xf numFmtId="0" fontId="29" fillId="0" borderId="0" xfId="0" applyFont="1" applyAlignment="1" applyProtection="1">
      <alignment wrapText="1"/>
      <protection hidden="1"/>
    </xf>
    <xf numFmtId="0" fontId="29" fillId="0" borderId="0" xfId="0" applyFont="1" applyAlignment="1" applyProtection="1">
      <alignment horizontal="center" wrapText="1"/>
      <protection hidden="1"/>
    </xf>
    <xf numFmtId="0" fontId="35" fillId="0" borderId="0" xfId="0" applyFont="1" applyProtection="1">
      <protection hidden="1"/>
    </xf>
    <xf numFmtId="0" fontId="22" fillId="0" borderId="0" xfId="0" applyFont="1" applyAlignment="1" applyProtection="1">
      <alignment wrapText="1"/>
      <protection hidden="1" locked="0"/>
    </xf>
    <xf numFmtId="0" fontId="17" fillId="0" borderId="27" xfId="0" applyFont="1" applyBorder="1" applyAlignment="1" applyProtection="1">
      <alignment vertical="center"/>
      <protection hidden="1"/>
    </xf>
    <xf numFmtId="44" fontId="17" fillId="0" borderId="27" xfId="0" applyNumberFormat="1" applyFont="1" applyBorder="1" applyAlignment="1" applyProtection="1">
      <alignment vertical="center" wrapText="1"/>
      <protection hidden="1"/>
    </xf>
    <xf numFmtId="0" fontId="27" fillId="0" borderId="0" xfId="0" applyFont="1" applyProtection="1">
      <protection hidden="1"/>
    </xf>
    <xf numFmtId="1" fontId="17" fillId="0" borderId="27" xfId="0" applyNumberFormat="1" applyFont="1" applyBorder="1" applyAlignment="1" applyProtection="1">
      <alignment horizontal="center" vertical="center"/>
      <protection locked="0"/>
    </xf>
    <xf numFmtId="49" fontId="29" fillId="6" borderId="29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 wrapText="1"/>
      <protection hidden="1"/>
    </xf>
    <xf numFmtId="49" fontId="29" fillId="0" borderId="0" xfId="0" applyNumberFormat="1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right"/>
      <protection hidden="1"/>
    </xf>
    <xf numFmtId="164" fontId="29" fillId="0" borderId="1" xfId="16" applyFont="1" applyFill="1" applyBorder="1" applyAlignment="1" applyProtection="1">
      <alignment vertical="center"/>
      <protection hidden="1"/>
    </xf>
    <xf numFmtId="49" fontId="29" fillId="0" borderId="1" xfId="0" applyNumberFormat="1" applyFont="1" applyBorder="1" applyAlignment="1" applyProtection="1">
      <alignment horizontal="center" vertical="center"/>
      <protection hidden="1"/>
    </xf>
    <xf numFmtId="44" fontId="17" fillId="5" borderId="27" xfId="0" applyNumberFormat="1" applyFont="1" applyFill="1" applyBorder="1" applyAlignment="1" applyProtection="1">
      <alignment vertical="center" wrapText="1"/>
      <protection hidden="1"/>
    </xf>
    <xf numFmtId="0" fontId="17" fillId="0" borderId="27" xfId="0" applyFont="1" applyBorder="1" applyAlignment="1" applyProtection="1">
      <alignment horizontal="center" vertical="top" wrapText="1"/>
      <protection hidden="1"/>
    </xf>
    <xf numFmtId="44" fontId="17" fillId="5" borderId="27" xfId="0" applyNumberFormat="1" applyFont="1" applyFill="1" applyBorder="1" applyAlignment="1" applyProtection="1">
      <alignment vertical="top" wrapText="1"/>
      <protection hidden="1"/>
    </xf>
    <xf numFmtId="164" fontId="17" fillId="5" borderId="27" xfId="16" applyFont="1" applyFill="1" applyBorder="1" applyAlignment="1" applyProtection="1">
      <alignment vertical="center" wrapText="1"/>
      <protection hidden="1"/>
    </xf>
    <xf numFmtId="165" fontId="17" fillId="0" borderId="2" xfId="0" applyNumberFormat="1" applyFont="1" applyBorder="1" applyAlignment="1" applyProtection="1">
      <alignment horizontal="right" vertical="center" wrapText="1" indent="1"/>
      <protection hidden="1"/>
    </xf>
    <xf numFmtId="44" fontId="29" fillId="7" borderId="30" xfId="0" applyNumberFormat="1" applyFont="1" applyFill="1" applyBorder="1" applyAlignment="1" applyProtection="1">
      <alignment vertical="center" wrapText="1"/>
      <protection hidden="1"/>
    </xf>
    <xf numFmtId="1" fontId="17" fillId="0" borderId="28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center" wrapText="1" indent="1"/>
      <protection hidden="1"/>
    </xf>
    <xf numFmtId="44" fontId="17" fillId="5" borderId="28" xfId="0" applyNumberFormat="1" applyFont="1" applyFill="1" applyBorder="1" applyAlignment="1" applyProtection="1">
      <alignment vertical="center" wrapText="1"/>
      <protection hidden="1"/>
    </xf>
    <xf numFmtId="1" fontId="17" fillId="0" borderId="27" xfId="0" applyNumberFormat="1" applyFont="1" applyBorder="1" applyAlignment="1" applyProtection="1">
      <alignment horizontal="center" vertical="center"/>
      <protection hidden="1" locked="0"/>
    </xf>
    <xf numFmtId="1" fontId="17" fillId="0" borderId="0" xfId="0" applyNumberFormat="1" applyFont="1" applyAlignment="1" applyProtection="1">
      <alignment horizontal="center" vertical="center"/>
      <protection hidden="1" locked="0"/>
    </xf>
    <xf numFmtId="0" fontId="29" fillId="0" borderId="0" xfId="0" applyFont="1" applyAlignment="1" applyProtection="1">
      <alignment horizontal="right" vertical="center"/>
      <protection hidden="1"/>
    </xf>
    <xf numFmtId="44" fontId="29" fillId="7" borderId="31" xfId="0" applyNumberFormat="1" applyFont="1" applyFill="1" applyBorder="1" applyAlignment="1" applyProtection="1">
      <alignment vertical="center" wrapText="1"/>
      <protection hidden="1"/>
    </xf>
    <xf numFmtId="0" fontId="17" fillId="0" borderId="32" xfId="0" applyFont="1" applyBorder="1" applyAlignment="1" applyProtection="1">
      <alignment horizontal="left" vertical="center"/>
      <protection hidden="1"/>
    </xf>
    <xf numFmtId="0" fontId="17" fillId="0" borderId="32" xfId="0" applyFont="1" applyBorder="1" applyAlignment="1" applyProtection="1">
      <alignment horizontal="center" vertical="center"/>
      <protection hidden="1"/>
    </xf>
    <xf numFmtId="44" fontId="17" fillId="5" borderId="32" xfId="0" applyNumberFormat="1" applyFont="1" applyFill="1" applyBorder="1" applyAlignment="1" applyProtection="1">
      <alignment vertical="center" wrapText="1"/>
      <protection hidden="1"/>
    </xf>
    <xf numFmtId="1" fontId="17" fillId="0" borderId="0" xfId="0" applyNumberFormat="1" applyFont="1" applyAlignment="1" applyProtection="1">
      <alignment horizontal="center" vertical="center"/>
      <protection hidden="1"/>
    </xf>
    <xf numFmtId="165" fontId="17" fillId="0" borderId="2" xfId="0" applyNumberFormat="1" applyFont="1" applyBorder="1" applyAlignment="1" applyProtection="1">
      <alignment vertical="center" wrapText="1"/>
      <protection hidden="1"/>
    </xf>
    <xf numFmtId="0" fontId="29" fillId="0" borderId="9" xfId="0" applyFont="1" applyBorder="1" applyAlignment="1" applyProtection="1">
      <alignment wrapText="1"/>
      <protection hidden="1"/>
    </xf>
    <xf numFmtId="165" fontId="17" fillId="0" borderId="2" xfId="0" applyNumberFormat="1" applyFont="1" applyBorder="1" applyProtection="1">
      <protection hidden="1"/>
    </xf>
    <xf numFmtId="0" fontId="17" fillId="0" borderId="2" xfId="0" applyFont="1" applyBorder="1" applyAlignment="1" applyProtection="1">
      <alignment vertical="center"/>
      <protection hidden="1"/>
    </xf>
    <xf numFmtId="0" fontId="17" fillId="0" borderId="33" xfId="0" applyFont="1" applyBorder="1" applyAlignment="1" applyProtection="1">
      <alignment vertical="center"/>
      <protection hidden="1"/>
    </xf>
    <xf numFmtId="0" fontId="30" fillId="0" borderId="0" xfId="49" applyFont="1" applyAlignment="1" applyProtection="1">
      <alignment horizontal="left" vertical="top" wrapText="1"/>
      <protection hidden="1"/>
    </xf>
    <xf numFmtId="0" fontId="27" fillId="0" borderId="9" xfId="0" applyFont="1" applyBorder="1" applyProtection="1">
      <protection hidden="1"/>
    </xf>
    <xf numFmtId="49" fontId="17" fillId="0" borderId="0" xfId="49" applyNumberFormat="1" applyFont="1" applyAlignment="1" applyProtection="1">
      <alignment horizontal="center" vertical="center" wrapText="1"/>
      <protection hidden="1"/>
    </xf>
    <xf numFmtId="0" fontId="17" fillId="0" borderId="2" xfId="0" applyFont="1" applyBorder="1" applyAlignment="1" applyProtection="1">
      <alignment horizontal="center" vertical="center"/>
      <protection hidden="1"/>
    </xf>
    <xf numFmtId="0" fontId="29" fillId="6" borderId="1" xfId="0" applyFont="1" applyFill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vertical="top"/>
      <protection hidden="1"/>
    </xf>
    <xf numFmtId="0" fontId="17" fillId="0" borderId="9" xfId="0" applyFont="1" applyBorder="1" applyAlignment="1" applyProtection="1">
      <alignment vertical="center"/>
      <protection hidden="1"/>
    </xf>
    <xf numFmtId="49" fontId="7" fillId="0" borderId="0" xfId="0" applyNumberFormat="1" applyFont="1" applyAlignment="1" applyProtection="1">
      <alignment horizontal="right"/>
      <protection hidden="1"/>
    </xf>
    <xf numFmtId="0" fontId="29" fillId="0" borderId="28" xfId="0" applyFont="1" applyBorder="1" applyAlignment="1" applyProtection="1">
      <alignment horizontal="center"/>
      <protection hidden="1"/>
    </xf>
    <xf numFmtId="1" fontId="17" fillId="6" borderId="27" xfId="0" applyNumberFormat="1" applyFont="1" applyFill="1" applyBorder="1" applyAlignment="1" applyProtection="1">
      <alignment horizontal="center" vertical="top"/>
      <protection locked="0"/>
    </xf>
    <xf numFmtId="1" fontId="17" fillId="6" borderId="32" xfId="0" applyNumberFormat="1" applyFont="1" applyFill="1" applyBorder="1" applyAlignment="1" applyProtection="1">
      <alignment horizontal="center" vertical="center"/>
      <protection locked="0"/>
    </xf>
    <xf numFmtId="44" fontId="17" fillId="0" borderId="27" xfId="0" applyNumberFormat="1" applyFont="1" applyBorder="1" applyAlignment="1" applyProtection="1">
      <alignment vertical="center" wrapText="1"/>
      <protection locked="0"/>
    </xf>
    <xf numFmtId="44" fontId="17" fillId="0" borderId="32" xfId="0" applyNumberFormat="1" applyFont="1" applyBorder="1" applyAlignment="1" applyProtection="1">
      <alignment vertical="center" wrapText="1"/>
      <protection locked="0"/>
    </xf>
    <xf numFmtId="0" fontId="17" fillId="0" borderId="0" xfId="0" applyFont="1" applyAlignment="1" applyProtection="1">
      <alignment horizontal="right" vertical="center" indent="1"/>
      <protection hidden="1"/>
    </xf>
    <xf numFmtId="0" fontId="29" fillId="0" borderId="0" xfId="0" applyFont="1" applyProtection="1">
      <protection hidden="1"/>
    </xf>
    <xf numFmtId="0" fontId="44" fillId="0" borderId="0" xfId="0" applyFont="1" applyProtection="1">
      <protection hidden="1"/>
    </xf>
    <xf numFmtId="0" fontId="29" fillId="0" borderId="28" xfId="0" applyFont="1" applyBorder="1" applyAlignment="1" applyProtection="1">
      <alignment horizontal="center" wrapText="1"/>
      <protection hidden="1"/>
    </xf>
    <xf numFmtId="0" fontId="29" fillId="0" borderId="0" xfId="0" applyFont="1" applyAlignment="1" applyProtection="1">
      <alignment horizontal="center"/>
      <protection hidden="1"/>
    </xf>
    <xf numFmtId="44" fontId="17" fillId="0" borderId="0" xfId="0" applyNumberFormat="1" applyFont="1" applyAlignment="1" applyProtection="1">
      <alignment vertical="center" wrapText="1"/>
      <protection hidden="1"/>
    </xf>
    <xf numFmtId="0" fontId="27" fillId="0" borderId="0" xfId="0" applyFont="1" applyAlignment="1" applyProtection="1">
      <alignment vertical="top"/>
      <protection hidden="1"/>
    </xf>
    <xf numFmtId="0" fontId="12" fillId="3" borderId="0" xfId="0" applyFont="1" applyFill="1" applyAlignment="1" applyProtection="1">
      <alignment horizontal="left" vertical="center" indent="1"/>
      <protection hidden="1"/>
    </xf>
    <xf numFmtId="0" fontId="12" fillId="3" borderId="0" xfId="0" applyFont="1" applyFill="1" applyProtection="1">
      <protection hidden="1"/>
    </xf>
    <xf numFmtId="0" fontId="12" fillId="4" borderId="0" xfId="0" applyFont="1" applyFill="1" applyProtection="1"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25" fillId="3" borderId="34" xfId="0" applyFont="1" applyFill="1" applyBorder="1" applyAlignment="1" applyProtection="1">
      <alignment horizontal="left" vertical="top" wrapText="1"/>
      <protection hidden="1"/>
    </xf>
    <xf numFmtId="0" fontId="25" fillId="3" borderId="35" xfId="0" applyFont="1" applyFill="1" applyBorder="1" applyAlignment="1" applyProtection="1">
      <alignment vertical="top" wrapText="1"/>
      <protection hidden="1"/>
    </xf>
    <xf numFmtId="0" fontId="25" fillId="3" borderId="36" xfId="0" applyFont="1" applyFill="1" applyBorder="1" applyAlignment="1" applyProtection="1">
      <alignment vertical="top" wrapText="1"/>
      <protection hidden="1"/>
    </xf>
    <xf numFmtId="0" fontId="16" fillId="3" borderId="37" xfId="0" applyFont="1" applyFill="1" applyBorder="1" applyAlignment="1" applyProtection="1">
      <alignment horizontal="right" vertical="top" wrapText="1" indent="1"/>
      <protection hidden="1"/>
    </xf>
    <xf numFmtId="49" fontId="25" fillId="3" borderId="38" xfId="0" applyNumberFormat="1" applyFont="1" applyFill="1" applyBorder="1" applyAlignment="1" applyProtection="1">
      <alignment wrapText="1"/>
      <protection hidden="1"/>
    </xf>
    <xf numFmtId="0" fontId="25" fillId="3" borderId="39" xfId="0" applyFont="1" applyFill="1" applyBorder="1" applyAlignment="1" applyProtection="1">
      <alignment horizontal="left" vertical="top" wrapText="1"/>
      <protection hidden="1"/>
    </xf>
    <xf numFmtId="0" fontId="25" fillId="3" borderId="40" xfId="0" applyFont="1" applyFill="1" applyBorder="1" applyAlignment="1" applyProtection="1">
      <alignment vertical="top" wrapText="1"/>
      <protection hidden="1"/>
    </xf>
    <xf numFmtId="0" fontId="25" fillId="3" borderId="41" xfId="0" applyFont="1" applyFill="1" applyBorder="1" applyAlignment="1" applyProtection="1">
      <alignment vertical="top" wrapText="1"/>
      <protection hidden="1"/>
    </xf>
    <xf numFmtId="0" fontId="12" fillId="3" borderId="0" xfId="0" applyFont="1" applyFill="1" applyAlignment="1" applyProtection="1">
      <alignment horizontal="center"/>
      <protection hidden="1"/>
    </xf>
    <xf numFmtId="0" fontId="12" fillId="3" borderId="0" xfId="0" applyFont="1" applyFill="1" applyAlignment="1" applyProtection="1">
      <alignment horizontal="left" vertical="top" indent="1"/>
      <protection hidden="1"/>
    </xf>
    <xf numFmtId="49" fontId="7" fillId="5" borderId="17" xfId="0" applyNumberFormat="1" applyFont="1" applyFill="1" applyBorder="1" applyAlignment="1" applyProtection="1">
      <alignment horizontal="right" vertical="center"/>
      <protection hidden="1"/>
    </xf>
    <xf numFmtId="49" fontId="7" fillId="0" borderId="0" xfId="0" applyNumberFormat="1" applyFont="1" applyAlignment="1" applyProtection="1">
      <alignment horizontal="left" vertical="top"/>
      <protection hidden="1"/>
    </xf>
    <xf numFmtId="49" fontId="7" fillId="3" borderId="0" xfId="0" applyNumberFormat="1" applyFont="1" applyFill="1" applyAlignment="1" applyProtection="1">
      <alignment horizontal="left"/>
      <protection hidden="1"/>
    </xf>
    <xf numFmtId="49" fontId="17" fillId="0" borderId="9" xfId="0" applyNumberFormat="1" applyFont="1" applyBorder="1" applyAlignment="1" applyProtection="1">
      <alignment horizontal="right" vertical="center" indent="1"/>
      <protection hidden="1"/>
    </xf>
    <xf numFmtId="0" fontId="43" fillId="0" borderId="9" xfId="0" applyFont="1" applyBorder="1" applyAlignment="1" applyProtection="1" quotePrefix="1">
      <alignment horizontal="center" vertical="center" wrapText="1"/>
      <protection hidden="1"/>
    </xf>
    <xf numFmtId="49" fontId="6" fillId="0" borderId="9" xfId="0" applyNumberFormat="1" applyFont="1" applyBorder="1" applyAlignment="1" applyProtection="1">
      <alignment vertical="center"/>
      <protection hidden="1"/>
    </xf>
    <xf numFmtId="49" fontId="17" fillId="5" borderId="0" xfId="0" applyNumberFormat="1" applyFont="1" applyFill="1" applyAlignment="1" applyProtection="1">
      <alignment horizontal="center" vertical="center"/>
      <protection hidden="1"/>
    </xf>
    <xf numFmtId="49" fontId="17" fillId="0" borderId="1" xfId="0" applyNumberFormat="1" applyFont="1" applyBorder="1" applyAlignment="1" applyProtection="1">
      <alignment horizontal="center" vertical="center"/>
      <protection locked="0"/>
    </xf>
    <xf numFmtId="1" fontId="17" fillId="6" borderId="1" xfId="0" applyNumberFormat="1" applyFont="1" applyFill="1" applyBorder="1" applyAlignment="1" applyProtection="1">
      <alignment horizontal="center" vertical="center"/>
      <protection locked="0"/>
    </xf>
    <xf numFmtId="1" fontId="17" fillId="0" borderId="1" xfId="0" applyNumberFormat="1" applyFont="1" applyBorder="1" applyAlignment="1" applyProtection="1">
      <alignment horizontal="center" vertical="center"/>
      <protection locked="0"/>
    </xf>
    <xf numFmtId="166" fontId="17" fillId="0" borderId="1" xfId="0" applyNumberFormat="1" applyFont="1" applyBorder="1" applyAlignment="1" applyProtection="1">
      <alignment horizontal="center" vertical="center" wrapText="1"/>
      <protection locked="0"/>
    </xf>
    <xf numFmtId="49" fontId="26" fillId="5" borderId="0" xfId="0" applyNumberFormat="1" applyFont="1" applyFill="1" applyAlignment="1" applyProtection="1">
      <alignment horizontal="center"/>
      <protection hidden="1"/>
    </xf>
    <xf numFmtId="0" fontId="51" fillId="3" borderId="0" xfId="0" applyFont="1" applyFill="1" applyAlignment="1" applyProtection="1">
      <alignment horizontal="center" vertical="center"/>
      <protection hidden="1"/>
    </xf>
    <xf numFmtId="0" fontId="28" fillId="0" borderId="0" xfId="0" applyFont="1" applyProtection="1">
      <protection hidden="1"/>
    </xf>
    <xf numFmtId="0" fontId="40" fillId="0" borderId="0" xfId="49" applyFont="1">
      <alignment/>
      <protection/>
    </xf>
    <xf numFmtId="0" fontId="6" fillId="4" borderId="0" xfId="49" applyFont="1" applyFill="1">
      <alignment/>
      <protection/>
    </xf>
    <xf numFmtId="0" fontId="53" fillId="4" borderId="0" xfId="49" applyFont="1" applyFill="1" applyAlignment="1">
      <alignment horizontal="left" wrapText="1"/>
      <protection/>
    </xf>
    <xf numFmtId="0" fontId="51" fillId="5" borderId="30" xfId="49" applyFont="1" applyFill="1" applyBorder="1" applyAlignment="1">
      <alignment horizontal="center" vertical="center" wrapText="1"/>
      <protection/>
    </xf>
    <xf numFmtId="0" fontId="6" fillId="4" borderId="30" xfId="49" applyFont="1" applyFill="1" applyBorder="1" applyAlignment="1" applyProtection="1">
      <alignment horizontal="left"/>
      <protection locked="0"/>
    </xf>
    <xf numFmtId="0" fontId="56" fillId="4" borderId="30" xfId="33" applyFont="1" applyFill="1" applyBorder="1" applyAlignment="1" applyProtection="1">
      <alignment horizontal="left"/>
      <protection locked="0"/>
    </xf>
    <xf numFmtId="0" fontId="6" fillId="4" borderId="30" xfId="49" applyFont="1" applyFill="1" applyBorder="1" applyAlignment="1" applyProtection="1">
      <alignment horizontal="center"/>
      <protection locked="0"/>
    </xf>
    <xf numFmtId="0" fontId="7" fillId="4" borderId="0" xfId="49" applyFont="1" applyFill="1" applyAlignment="1">
      <alignment horizontal="center"/>
      <protection/>
    </xf>
    <xf numFmtId="0" fontId="6" fillId="4" borderId="0" xfId="49" applyFont="1" applyFill="1" applyAlignment="1">
      <alignment horizontal="center"/>
      <protection/>
    </xf>
    <xf numFmtId="0" fontId="6" fillId="4" borderId="0" xfId="49" applyFont="1" applyFill="1" applyAlignment="1">
      <alignment wrapText="1"/>
      <protection/>
    </xf>
    <xf numFmtId="0" fontId="6" fillId="4" borderId="0" xfId="49" applyFont="1" applyFill="1" applyAlignment="1">
      <alignment horizontal="center" wrapText="1"/>
      <protection/>
    </xf>
    <xf numFmtId="49" fontId="6" fillId="5" borderId="2" xfId="0" applyNumberFormat="1" applyFont="1" applyFill="1" applyBorder="1" applyAlignment="1" applyProtection="1">
      <alignment horizontal="right"/>
      <protection hidden="1"/>
    </xf>
    <xf numFmtId="49" fontId="6" fillId="5" borderId="0" xfId="0" applyNumberFormat="1" applyFont="1" applyFill="1" applyProtection="1">
      <protection hidden="1"/>
    </xf>
    <xf numFmtId="49" fontId="17" fillId="5" borderId="42" xfId="49" applyNumberFormat="1" applyFont="1" applyFill="1" applyBorder="1" applyAlignment="1" applyProtection="1">
      <alignment horizontal="right" vertical="center" indent="1"/>
      <protection hidden="1"/>
    </xf>
    <xf numFmtId="0" fontId="40" fillId="0" borderId="0" xfId="49" applyFont="1" applyAlignment="1">
      <alignment vertical="center"/>
      <protection/>
    </xf>
    <xf numFmtId="49" fontId="17" fillId="5" borderId="0" xfId="0" applyNumberFormat="1" applyFont="1" applyFill="1" applyAlignment="1" applyProtection="1">
      <alignment wrapText="1"/>
      <protection hidden="1"/>
    </xf>
    <xf numFmtId="49" fontId="17" fillId="6" borderId="43" xfId="0" applyNumberFormat="1" applyFont="1" applyFill="1" applyBorder="1" applyAlignment="1" applyProtection="1">
      <alignment horizontal="center" vertical="center"/>
      <protection locked="0"/>
    </xf>
    <xf numFmtId="49" fontId="17" fillId="5" borderId="0" xfId="49" applyNumberFormat="1" applyFont="1" applyFill="1" applyAlignment="1">
      <alignment horizontal="left" vertical="center"/>
      <protection/>
    </xf>
    <xf numFmtId="44" fontId="17" fillId="0" borderId="27" xfId="0" applyNumberFormat="1" applyFont="1" applyBorder="1" applyAlignment="1" applyProtection="1">
      <alignment vertical="center" wrapText="1"/>
      <protection hidden="1" locked="0"/>
    </xf>
    <xf numFmtId="44" fontId="17" fillId="0" borderId="28" xfId="0" applyNumberFormat="1" applyFont="1" applyBorder="1" applyAlignment="1" applyProtection="1">
      <alignment vertical="center" wrapText="1"/>
      <protection hidden="1" locked="0"/>
    </xf>
    <xf numFmtId="44" fontId="17" fillId="0" borderId="27" xfId="0" applyNumberFormat="1" applyFont="1" applyBorder="1" applyAlignment="1">
      <alignment vertical="center" wrapText="1"/>
    </xf>
    <xf numFmtId="0" fontId="6" fillId="0" borderId="30" xfId="0" applyFont="1" applyBorder="1" applyAlignment="1" applyProtection="1">
      <alignment horizontal="left" vertical="center"/>
      <protection locked="0"/>
    </xf>
    <xf numFmtId="0" fontId="17" fillId="6" borderId="44" xfId="49" applyFont="1" applyFill="1" applyBorder="1" applyAlignment="1" applyProtection="1">
      <alignment horizontal="center" vertical="center"/>
      <protection locked="0"/>
    </xf>
    <xf numFmtId="0" fontId="17" fillId="6" borderId="45" xfId="49" applyFont="1" applyFill="1" applyBorder="1" applyAlignment="1" applyProtection="1">
      <alignment horizontal="center" vertical="center"/>
      <protection locked="0"/>
    </xf>
    <xf numFmtId="0" fontId="51" fillId="3" borderId="0" xfId="0" applyFont="1" applyFill="1" applyAlignment="1" applyProtection="1">
      <alignment horizontal="center" vertical="top" wrapText="1"/>
      <protection hidden="1"/>
    </xf>
    <xf numFmtId="49" fontId="17" fillId="3" borderId="46" xfId="0" applyNumberFormat="1" applyFont="1" applyFill="1" applyBorder="1" applyAlignment="1" applyProtection="1">
      <alignment horizontal="right" indent="1"/>
      <protection hidden="1"/>
    </xf>
    <xf numFmtId="49" fontId="17" fillId="0" borderId="46" xfId="0" applyNumberFormat="1" applyFont="1" applyBorder="1" applyAlignment="1" applyProtection="1">
      <alignment horizontal="left" vertical="center"/>
      <protection hidden="1"/>
    </xf>
    <xf numFmtId="0" fontId="30" fillId="0" borderId="1" xfId="0" applyFont="1" applyBorder="1" applyAlignment="1" applyProtection="1">
      <alignment horizontal="center" vertical="center"/>
      <protection hidden="1" locked="0"/>
    </xf>
    <xf numFmtId="0" fontId="0" fillId="6" borderId="47" xfId="0" applyFill="1" applyBorder="1" applyProtection="1">
      <protection locked="0"/>
    </xf>
    <xf numFmtId="0" fontId="0" fillId="6" borderId="30" xfId="0" applyFill="1" applyBorder="1" applyProtection="1">
      <protection locked="0"/>
    </xf>
    <xf numFmtId="0" fontId="0" fillId="6" borderId="48" xfId="0" applyFill="1" applyBorder="1" applyProtection="1">
      <protection locked="0"/>
    </xf>
    <xf numFmtId="0" fontId="0" fillId="0" borderId="47" xfId="0" applyBorder="1" applyProtection="1">
      <protection locked="0"/>
    </xf>
    <xf numFmtId="0" fontId="0" fillId="0" borderId="30" xfId="0" applyBorder="1" applyProtection="1">
      <protection locked="0"/>
    </xf>
    <xf numFmtId="0" fontId="0" fillId="0" borderId="48" xfId="0" applyBorder="1" applyProtection="1">
      <protection locked="0"/>
    </xf>
    <xf numFmtId="1" fontId="17" fillId="0" borderId="28" xfId="0" applyNumberFormat="1" applyFont="1" applyBorder="1" applyAlignment="1" applyProtection="1">
      <alignment horizontal="center" vertical="center"/>
      <protection hidden="1" locked="0"/>
    </xf>
    <xf numFmtId="0" fontId="17" fillId="0" borderId="28" xfId="0" applyFont="1" applyBorder="1" applyAlignment="1" applyProtection="1">
      <alignment horizontal="left" vertical="center" indent="1"/>
      <protection hidden="1"/>
    </xf>
    <xf numFmtId="0" fontId="50" fillId="3" borderId="0" xfId="0" applyFont="1" applyFill="1" applyAlignment="1" applyProtection="1">
      <alignment horizontal="left"/>
      <protection hidden="1"/>
    </xf>
    <xf numFmtId="0" fontId="39" fillId="0" borderId="0" xfId="49" applyFont="1">
      <alignment/>
      <protection/>
    </xf>
    <xf numFmtId="17" fontId="59" fillId="0" borderId="0" xfId="49" applyNumberFormat="1" applyFont="1" applyAlignment="1">
      <alignment horizontal="center" vertical="center"/>
      <protection/>
    </xf>
    <xf numFmtId="0" fontId="12" fillId="0" borderId="30" xfId="0" applyFont="1" applyBorder="1" applyAlignment="1" applyProtection="1">
      <alignment horizontal="center" vertical="center" wrapText="1"/>
      <protection locked="0"/>
    </xf>
    <xf numFmtId="49" fontId="6" fillId="3" borderId="5" xfId="0" applyNumberFormat="1" applyFont="1" applyFill="1" applyBorder="1" applyProtection="1">
      <protection hidden="1"/>
    </xf>
    <xf numFmtId="0" fontId="17" fillId="0" borderId="0" xfId="0" applyFont="1" applyAlignment="1" applyProtection="1">
      <alignment horizontal="left" vertical="center" wrapText="1" indent="1"/>
      <protection hidden="1"/>
    </xf>
    <xf numFmtId="0" fontId="0" fillId="0" borderId="0" xfId="0" applyFont="1"/>
    <xf numFmtId="0" fontId="1" fillId="0" borderId="0" xfId="0" applyFont="1" applyProtection="1">
      <protection hidden="1"/>
    </xf>
    <xf numFmtId="49" fontId="7" fillId="0" borderId="0" xfId="0" applyNumberFormat="1" applyFont="1" applyAlignment="1">
      <alignment horizontal="left"/>
    </xf>
    <xf numFmtId="49" fontId="17" fillId="0" borderId="0" xfId="0" applyNumberFormat="1" applyFont="1" applyAlignment="1">
      <alignment horizontal="left"/>
    </xf>
    <xf numFmtId="0" fontId="17" fillId="0" borderId="9" xfId="0" applyFont="1" applyBorder="1"/>
    <xf numFmtId="0" fontId="17" fillId="0" borderId="0" xfId="0" applyFont="1"/>
    <xf numFmtId="49" fontId="17" fillId="0" borderId="0" xfId="0" applyNumberFormat="1" applyFont="1" applyAlignment="1" applyProtection="1">
      <alignment horizontal="right" vertical="center" indent="1"/>
      <protection hidden="1"/>
    </xf>
    <xf numFmtId="49" fontId="17" fillId="5" borderId="2" xfId="0" applyNumberFormat="1" applyFont="1" applyFill="1" applyBorder="1" applyAlignment="1" applyProtection="1">
      <alignment horizontal="right" vertical="center" indent="1"/>
      <protection hidden="1"/>
    </xf>
    <xf numFmtId="0" fontId="67" fillId="0" borderId="0" xfId="0" applyFont="1"/>
    <xf numFmtId="0" fontId="6" fillId="0" borderId="30" xfId="0" applyFont="1" applyBorder="1" applyAlignment="1" applyProtection="1">
      <alignment horizontal="center" vertical="center" wrapText="1"/>
      <protection hidden="1"/>
    </xf>
    <xf numFmtId="0" fontId="44" fillId="0" borderId="0" xfId="0" applyFont="1"/>
    <xf numFmtId="0" fontId="67" fillId="8" borderId="30" xfId="0" applyFont="1" applyFill="1" applyBorder="1" applyAlignment="1">
      <alignment horizontal="left" vertical="center" wrapText="1"/>
    </xf>
    <xf numFmtId="0" fontId="67" fillId="8" borderId="30" xfId="0" applyFont="1" applyFill="1" applyBorder="1" applyAlignment="1">
      <alignment horizontal="center" vertical="center" wrapText="1"/>
    </xf>
    <xf numFmtId="0" fontId="62" fillId="9" borderId="0" xfId="49" applyFont="1" applyFill="1" applyAlignment="1">
      <alignment vertical="center"/>
      <protection/>
    </xf>
    <xf numFmtId="0" fontId="43" fillId="5" borderId="0" xfId="0" applyFont="1" applyFill="1" applyAlignment="1" applyProtection="1" quotePrefix="1">
      <alignment horizontal="center" vertical="center" wrapText="1"/>
      <protection hidden="1"/>
    </xf>
    <xf numFmtId="0" fontId="6" fillId="3" borderId="0" xfId="0" applyFont="1" applyFill="1" applyAlignment="1" applyProtection="1">
      <alignment horizontal="left" vertical="center"/>
      <protection hidden="1"/>
    </xf>
    <xf numFmtId="0" fontId="6" fillId="0" borderId="36" xfId="0" applyFont="1" applyBorder="1" applyProtection="1">
      <protection hidden="1"/>
    </xf>
    <xf numFmtId="0" fontId="17" fillId="0" borderId="38" xfId="0" applyFont="1" applyBorder="1" applyProtection="1">
      <protection hidden="1"/>
    </xf>
    <xf numFmtId="0" fontId="67" fillId="8" borderId="49" xfId="0" applyFont="1" applyFill="1" applyBorder="1" applyAlignment="1">
      <alignment horizontal="center" vertical="center" wrapText="1"/>
    </xf>
    <xf numFmtId="0" fontId="67" fillId="8" borderId="21" xfId="0" applyFont="1" applyFill="1" applyBorder="1" applyAlignment="1">
      <alignment horizontal="center" vertical="center" wrapText="1"/>
    </xf>
    <xf numFmtId="0" fontId="6" fillId="0" borderId="49" xfId="0" applyFont="1" applyBorder="1" applyAlignment="1" applyProtection="1">
      <alignment horizontal="center" vertical="center" wrapText="1"/>
      <protection hidden="1"/>
    </xf>
    <xf numFmtId="0" fontId="6" fillId="0" borderId="21" xfId="0" applyFont="1" applyBorder="1" applyAlignment="1" applyProtection="1">
      <alignment horizontal="center" vertical="center" wrapText="1"/>
      <protection hidden="1"/>
    </xf>
    <xf numFmtId="0" fontId="67" fillId="8" borderId="49" xfId="0" applyFont="1" applyFill="1" applyBorder="1" applyAlignment="1">
      <alignment horizontal="left" vertical="center" wrapText="1"/>
    </xf>
    <xf numFmtId="0" fontId="67" fillId="8" borderId="21" xfId="0" applyFont="1" applyFill="1" applyBorder="1" applyAlignment="1">
      <alignment horizontal="left" vertical="center" wrapText="1"/>
    </xf>
    <xf numFmtId="0" fontId="39" fillId="10" borderId="50" xfId="49" applyFont="1" applyFill="1" applyBorder="1">
      <alignment/>
      <protection/>
    </xf>
    <xf numFmtId="0" fontId="39" fillId="10" borderId="51" xfId="49" applyFont="1" applyFill="1" applyBorder="1">
      <alignment/>
      <protection/>
    </xf>
    <xf numFmtId="0" fontId="29" fillId="6" borderId="30" xfId="0" applyFont="1" applyFill="1" applyBorder="1" applyAlignment="1" applyProtection="1">
      <alignment horizontal="center" vertical="center"/>
      <protection hidden="1"/>
    </xf>
    <xf numFmtId="0" fontId="29" fillId="11" borderId="30" xfId="0" applyFont="1" applyFill="1" applyBorder="1" applyAlignment="1" applyProtection="1">
      <alignment horizontal="center" vertical="center"/>
      <protection locked="0"/>
    </xf>
    <xf numFmtId="49" fontId="17" fillId="5" borderId="5" xfId="0" applyNumberFormat="1" applyFont="1" applyFill="1" applyBorder="1" applyAlignment="1" applyProtection="1">
      <alignment horizontal="right" vertical="center" wrapText="1" indent="1"/>
      <protection hidden="1"/>
    </xf>
    <xf numFmtId="0" fontId="0" fillId="0" borderId="0" xfId="49">
      <alignment/>
      <protection/>
    </xf>
    <xf numFmtId="0" fontId="70" fillId="0" borderId="0" xfId="49" applyFont="1">
      <alignment/>
      <protection/>
    </xf>
    <xf numFmtId="0" fontId="70" fillId="0" borderId="0" xfId="49" applyFont="1" applyAlignment="1">
      <alignment horizontal="center" vertical="center"/>
      <protection/>
    </xf>
    <xf numFmtId="0" fontId="71" fillId="0" borderId="0" xfId="49" applyFont="1" applyAlignment="1">
      <alignment horizontal="center" vertical="center"/>
      <protection/>
    </xf>
    <xf numFmtId="49" fontId="0" fillId="0" borderId="0" xfId="49" applyNumberFormat="1">
      <alignment/>
      <protection/>
    </xf>
    <xf numFmtId="49" fontId="71" fillId="0" borderId="0" xfId="49" applyNumberFormat="1" applyFont="1" applyAlignment="1">
      <alignment horizontal="center" vertical="center"/>
      <protection/>
    </xf>
    <xf numFmtId="0" fontId="39" fillId="12" borderId="0" xfId="49" applyFont="1" applyFill="1" applyAlignment="1">
      <alignment vertical="center"/>
      <protection/>
    </xf>
    <xf numFmtId="0" fontId="39" fillId="0" borderId="0" xfId="49" applyFont="1" applyAlignment="1">
      <alignment vertical="center"/>
      <protection/>
    </xf>
    <xf numFmtId="0" fontId="17" fillId="0" borderId="0" xfId="49" applyFont="1" applyAlignment="1" applyProtection="1">
      <alignment horizontal="center" vertical="center"/>
      <protection locked="0"/>
    </xf>
    <xf numFmtId="0" fontId="71" fillId="0" borderId="0" xfId="49" applyFont="1" applyAlignment="1" applyProtection="1">
      <alignment horizontal="center" vertical="center"/>
      <protection locked="0"/>
    </xf>
    <xf numFmtId="0" fontId="17" fillId="0" borderId="52" xfId="49" applyFont="1" applyBorder="1" applyAlignment="1" applyProtection="1">
      <alignment horizontal="center" vertical="center"/>
      <protection locked="0"/>
    </xf>
    <xf numFmtId="0" fontId="74" fillId="0" borderId="0" xfId="49" applyFont="1" applyAlignment="1">
      <alignment horizontal="center" vertical="center"/>
      <protection/>
    </xf>
    <xf numFmtId="0" fontId="76" fillId="0" borderId="0" xfId="49" applyFont="1" applyAlignment="1">
      <alignment horizontal="center" vertical="center" wrapText="1"/>
      <protection/>
    </xf>
    <xf numFmtId="0" fontId="7" fillId="0" borderId="27" xfId="49" applyFont="1" applyBorder="1" applyAlignment="1" applyProtection="1">
      <alignment horizontal="left" vertical="center" wrapText="1" indent="1"/>
      <protection hidden="1"/>
    </xf>
    <xf numFmtId="49" fontId="17" fillId="0" borderId="53" xfId="49" applyNumberFormat="1" applyFont="1" applyBorder="1" applyAlignment="1" applyProtection="1">
      <alignment horizontal="center" vertical="center" wrapText="1"/>
      <protection locked="0"/>
    </xf>
    <xf numFmtId="0" fontId="30" fillId="0" borderId="54" xfId="49" applyFont="1" applyBorder="1" applyAlignment="1" applyProtection="1">
      <alignment horizontal="center" vertical="center"/>
      <protection locked="0"/>
    </xf>
    <xf numFmtId="0" fontId="17" fillId="0" borderId="16" xfId="49" applyFont="1" applyBorder="1" applyAlignment="1" applyProtection="1">
      <alignment horizontal="center" vertical="center" wrapText="1"/>
      <protection locked="0"/>
    </xf>
    <xf numFmtId="0" fontId="17" fillId="13" borderId="52" xfId="49" applyFont="1" applyFill="1" applyBorder="1" applyAlignment="1" applyProtection="1">
      <alignment horizontal="center" vertical="center"/>
      <protection locked="0"/>
    </xf>
    <xf numFmtId="0" fontId="17" fillId="0" borderId="1" xfId="49" applyFont="1" applyBorder="1" applyAlignment="1" applyProtection="1">
      <alignment horizontal="center" vertical="center"/>
      <protection locked="0"/>
    </xf>
    <xf numFmtId="0" fontId="91" fillId="0" borderId="52" xfId="49" applyFont="1" applyBorder="1" applyAlignment="1" applyProtection="1">
      <alignment horizontal="center" vertical="center"/>
      <protection locked="0"/>
    </xf>
    <xf numFmtId="0" fontId="91" fillId="13" borderId="52" xfId="49" applyFont="1" applyFill="1" applyBorder="1" applyAlignment="1" applyProtection="1">
      <alignment horizontal="center" vertical="center"/>
      <protection locked="0"/>
    </xf>
    <xf numFmtId="0" fontId="91" fillId="0" borderId="1" xfId="49" applyFont="1" applyBorder="1" applyAlignment="1" applyProtection="1">
      <alignment horizontal="center" vertical="center"/>
      <protection locked="0"/>
    </xf>
    <xf numFmtId="0" fontId="92" fillId="13" borderId="52" xfId="49" applyFont="1" applyFill="1" applyBorder="1" applyAlignment="1" applyProtection="1">
      <alignment horizontal="center" vertical="center"/>
      <protection locked="0"/>
    </xf>
    <xf numFmtId="0" fontId="30" fillId="0" borderId="0" xfId="49" applyFont="1" applyAlignment="1" applyProtection="1">
      <alignment horizontal="center" vertical="center"/>
      <protection locked="0"/>
    </xf>
    <xf numFmtId="49" fontId="91" fillId="0" borderId="53" xfId="49" applyNumberFormat="1" applyFont="1" applyBorder="1" applyAlignment="1" applyProtection="1">
      <alignment horizontal="center" vertical="center" wrapText="1"/>
      <protection locked="0"/>
    </xf>
    <xf numFmtId="0" fontId="39" fillId="0" borderId="0" xfId="49" applyFont="1" applyAlignment="1">
      <alignment horizontal="right"/>
      <protection/>
    </xf>
    <xf numFmtId="0" fontId="12" fillId="0" borderId="0" xfId="49" applyFont="1" applyAlignment="1">
      <alignment horizontal="center" vertical="center"/>
      <protection/>
    </xf>
    <xf numFmtId="0" fontId="6" fillId="0" borderId="0" xfId="49" applyFont="1">
      <alignment/>
      <protection/>
    </xf>
    <xf numFmtId="0" fontId="6" fillId="0" borderId="0" xfId="49" applyFont="1" applyAlignment="1">
      <alignment wrapText="1"/>
      <protection/>
    </xf>
    <xf numFmtId="0" fontId="17" fillId="6" borderId="55" xfId="49" applyFont="1" applyFill="1" applyBorder="1" applyAlignment="1" applyProtection="1">
      <alignment horizontal="center" vertical="top"/>
      <protection locked="0"/>
    </xf>
    <xf numFmtId="1" fontId="17" fillId="6" borderId="19" xfId="49" applyNumberFormat="1" applyFont="1" applyFill="1" applyBorder="1" applyAlignment="1" applyProtection="1">
      <alignment horizontal="center" vertical="top"/>
      <protection locked="0"/>
    </xf>
    <xf numFmtId="0" fontId="17" fillId="6" borderId="19" xfId="49" applyFont="1" applyFill="1" applyBorder="1" applyAlignment="1" applyProtection="1">
      <alignment horizontal="center" vertical="top"/>
      <protection locked="0"/>
    </xf>
    <xf numFmtId="0" fontId="17" fillId="6" borderId="56" xfId="49" applyFont="1" applyFill="1" applyBorder="1" applyAlignment="1" applyProtection="1">
      <alignment horizontal="center" vertical="top"/>
      <protection locked="0"/>
    </xf>
    <xf numFmtId="0" fontId="100" fillId="0" borderId="0" xfId="49" applyFont="1" applyAlignment="1" applyProtection="1">
      <alignment horizontal="center" vertical="top"/>
      <protection locked="0"/>
    </xf>
    <xf numFmtId="0" fontId="17" fillId="0" borderId="0" xfId="49" applyFont="1" applyAlignment="1" applyProtection="1">
      <alignment horizontal="center" vertical="top"/>
      <protection locked="0"/>
    </xf>
    <xf numFmtId="0" fontId="17" fillId="0" borderId="0" xfId="49" applyFont="1" applyAlignment="1" applyProtection="1">
      <alignment horizontal="center" vertical="top" wrapText="1"/>
      <protection locked="0"/>
    </xf>
    <xf numFmtId="0" fontId="17" fillId="6" borderId="57" xfId="49" applyFont="1" applyFill="1" applyBorder="1" applyAlignment="1" applyProtection="1">
      <alignment horizontal="center" vertical="top"/>
      <protection locked="0"/>
    </xf>
    <xf numFmtId="1" fontId="17" fillId="6" borderId="1" xfId="49" applyNumberFormat="1" applyFont="1" applyFill="1" applyBorder="1" applyAlignment="1" applyProtection="1">
      <alignment horizontal="center" vertical="top"/>
      <protection locked="0"/>
    </xf>
    <xf numFmtId="0" fontId="17" fillId="6" borderId="1" xfId="49" applyFont="1" applyFill="1" applyBorder="1" applyAlignment="1" applyProtection="1">
      <alignment horizontal="center" vertical="top"/>
      <protection locked="0"/>
    </xf>
    <xf numFmtId="0" fontId="17" fillId="6" borderId="58" xfId="49" applyFont="1" applyFill="1" applyBorder="1" applyAlignment="1" applyProtection="1">
      <alignment horizontal="center" vertical="top"/>
      <protection locked="0"/>
    </xf>
    <xf numFmtId="11" fontId="17" fillId="6" borderId="57" xfId="49" applyNumberFormat="1" applyFont="1" applyFill="1" applyBorder="1" applyAlignment="1" applyProtection="1">
      <alignment horizontal="center" vertical="top"/>
      <protection locked="0"/>
    </xf>
    <xf numFmtId="49" fontId="7" fillId="0" borderId="2" xfId="49" applyNumberFormat="1" applyFont="1" applyBorder="1" applyAlignment="1" applyProtection="1">
      <alignment horizontal="left"/>
      <protection hidden="1"/>
    </xf>
    <xf numFmtId="49" fontId="7" fillId="0" borderId="0" xfId="49" applyNumberFormat="1" applyFont="1" applyAlignment="1" applyProtection="1">
      <alignment horizontal="left"/>
      <protection hidden="1"/>
    </xf>
    <xf numFmtId="0" fontId="25" fillId="3" borderId="0" xfId="0" applyFont="1" applyFill="1" applyAlignment="1" applyProtection="1">
      <alignment horizontal="left" vertical="top" wrapText="1"/>
      <protection hidden="1"/>
    </xf>
    <xf numFmtId="0" fontId="25" fillId="3" borderId="0" xfId="0" applyFont="1" applyFill="1" applyAlignment="1" applyProtection="1">
      <alignment vertical="top" wrapText="1"/>
      <protection hidden="1"/>
    </xf>
    <xf numFmtId="0" fontId="88" fillId="14" borderId="0" xfId="49" applyFont="1" applyFill="1" applyAlignment="1">
      <alignment vertical="center"/>
      <protection/>
    </xf>
    <xf numFmtId="0" fontId="86" fillId="0" borderId="0" xfId="49" applyFont="1">
      <alignment/>
      <protection/>
    </xf>
    <xf numFmtId="0" fontId="85" fillId="14" borderId="0" xfId="49" applyFont="1" applyFill="1" applyAlignment="1">
      <alignment vertical="top" wrapText="1"/>
      <protection/>
    </xf>
    <xf numFmtId="0" fontId="0" fillId="11" borderId="0" xfId="49" applyFill="1">
      <alignment/>
      <protection/>
    </xf>
    <xf numFmtId="0" fontId="12" fillId="0" borderId="30" xfId="49" applyFont="1" applyBorder="1" applyAlignment="1">
      <alignment horizontal="center" vertical="center" wrapText="1"/>
      <protection/>
    </xf>
    <xf numFmtId="0" fontId="68" fillId="0" borderId="0" xfId="49" applyFont="1" applyAlignment="1">
      <alignment vertical="center"/>
      <protection/>
    </xf>
    <xf numFmtId="0" fontId="46" fillId="0" borderId="0" xfId="49" applyFont="1" applyAlignment="1">
      <alignment vertical="center"/>
      <protection/>
    </xf>
    <xf numFmtId="0" fontId="82" fillId="0" borderId="0" xfId="49" applyFont="1" applyAlignment="1">
      <alignment vertical="center"/>
      <protection/>
    </xf>
    <xf numFmtId="0" fontId="82" fillId="11" borderId="0" xfId="49" applyFont="1" applyFill="1" applyAlignment="1">
      <alignment horizontal="center" vertical="center"/>
      <protection/>
    </xf>
    <xf numFmtId="0" fontId="82" fillId="0" borderId="0" xfId="49" applyFont="1" applyAlignment="1">
      <alignment horizontal="center" vertical="center"/>
      <protection/>
    </xf>
    <xf numFmtId="0" fontId="82" fillId="11" borderId="0" xfId="49" applyFont="1" applyFill="1" applyAlignment="1">
      <alignment vertical="center"/>
      <protection/>
    </xf>
    <xf numFmtId="0" fontId="79" fillId="0" borderId="0" xfId="49" applyFont="1" applyAlignment="1">
      <alignment wrapText="1"/>
      <protection/>
    </xf>
    <xf numFmtId="0" fontId="79" fillId="0" borderId="0" xfId="49" applyFont="1" applyAlignment="1">
      <alignment horizontal="center" vertical="center" wrapText="1"/>
      <protection/>
    </xf>
    <xf numFmtId="0" fontId="80" fillId="0" borderId="0" xfId="49" applyFont="1" applyAlignment="1">
      <alignment horizontal="center" vertical="center" wrapText="1"/>
      <protection/>
    </xf>
    <xf numFmtId="0" fontId="76" fillId="0" borderId="59" xfId="49" applyFont="1" applyBorder="1" applyAlignment="1">
      <alignment horizontal="center" vertical="center" wrapText="1"/>
      <protection/>
    </xf>
    <xf numFmtId="0" fontId="95" fillId="15" borderId="60" xfId="49" applyFont="1" applyFill="1" applyBorder="1" applyAlignment="1" applyProtection="1">
      <alignment horizontal="center" vertical="center"/>
      <protection locked="0"/>
    </xf>
    <xf numFmtId="0" fontId="82" fillId="15" borderId="60" xfId="49" applyFont="1" applyFill="1" applyBorder="1" applyAlignment="1" applyProtection="1">
      <alignment horizontal="center" vertical="center"/>
      <protection locked="0"/>
    </xf>
    <xf numFmtId="0" fontId="94" fillId="0" borderId="61" xfId="49" applyFont="1" applyBorder="1" applyAlignment="1" applyProtection="1">
      <alignment horizontal="center" vertical="center" wrapText="1"/>
      <protection locked="0"/>
    </xf>
    <xf numFmtId="0" fontId="99" fillId="14" borderId="0" xfId="49" applyFont="1" applyFill="1">
      <alignment/>
      <protection/>
    </xf>
    <xf numFmtId="0" fontId="97" fillId="14" borderId="0" xfId="49" applyFont="1" applyFill="1" applyAlignment="1">
      <alignment vertical="center"/>
      <protection/>
    </xf>
    <xf numFmtId="0" fontId="98" fillId="14" borderId="0" xfId="49" applyFont="1" applyFill="1" applyAlignment="1">
      <alignment vertical="center"/>
      <protection/>
    </xf>
    <xf numFmtId="0" fontId="69" fillId="14" borderId="0" xfId="49" applyFont="1" applyFill="1" applyAlignment="1">
      <alignment vertical="top"/>
      <protection/>
    </xf>
    <xf numFmtId="0" fontId="96" fillId="0" borderId="62" xfId="49" applyFont="1" applyBorder="1" applyAlignment="1">
      <alignment horizontal="center" wrapText="1"/>
      <protection/>
    </xf>
    <xf numFmtId="0" fontId="96" fillId="0" borderId="0" xfId="49" applyFont="1" applyAlignment="1">
      <alignment horizontal="center" wrapText="1"/>
      <protection/>
    </xf>
    <xf numFmtId="0" fontId="0" fillId="0" borderId="63" xfId="49" applyBorder="1" applyAlignment="1">
      <alignment wrapText="1"/>
      <protection/>
    </xf>
    <xf numFmtId="0" fontId="95" fillId="15" borderId="0" xfId="49" applyFont="1" applyFill="1" applyAlignment="1">
      <alignment horizontal="center" vertical="center"/>
      <protection/>
    </xf>
    <xf numFmtId="0" fontId="0" fillId="0" borderId="63" xfId="49" applyBorder="1">
      <alignment/>
      <protection/>
    </xf>
    <xf numFmtId="0" fontId="82" fillId="11" borderId="64" xfId="49" applyFont="1" applyFill="1" applyBorder="1" applyAlignment="1">
      <alignment vertical="center"/>
      <protection/>
    </xf>
    <xf numFmtId="0" fontId="82" fillId="11" borderId="65" xfId="49" applyFont="1" applyFill="1" applyBorder="1" applyAlignment="1">
      <alignment vertical="center"/>
      <protection/>
    </xf>
    <xf numFmtId="0" fontId="82" fillId="11" borderId="66" xfId="49" applyFont="1" applyFill="1" applyBorder="1" applyAlignment="1">
      <alignment vertical="center"/>
      <protection/>
    </xf>
    <xf numFmtId="0" fontId="80" fillId="6" borderId="67" xfId="49" applyFont="1" applyFill="1" applyBorder="1" applyAlignment="1">
      <alignment horizontal="left" vertical="top" wrapText="1"/>
      <protection/>
    </xf>
    <xf numFmtId="0" fontId="94" fillId="0" borderId="68" xfId="49" applyFont="1" applyBorder="1" applyAlignment="1">
      <alignment horizontal="center" vertical="center" wrapText="1"/>
      <protection/>
    </xf>
    <xf numFmtId="0" fontId="94" fillId="0" borderId="0" xfId="49" applyFont="1" applyAlignment="1">
      <alignment horizontal="center" vertical="center" wrapText="1"/>
      <protection/>
    </xf>
    <xf numFmtId="0" fontId="94" fillId="0" borderId="61" xfId="49" applyFont="1" applyBorder="1" applyAlignment="1">
      <alignment horizontal="center" vertical="center" wrapText="1"/>
      <protection/>
    </xf>
    <xf numFmtId="0" fontId="93" fillId="0" borderId="69" xfId="49" applyFont="1" applyBorder="1" applyAlignment="1">
      <alignment horizontal="center" vertical="center" wrapText="1"/>
      <protection/>
    </xf>
    <xf numFmtId="0" fontId="93" fillId="0" borderId="70" xfId="49" applyFont="1" applyBorder="1" applyAlignment="1">
      <alignment horizontal="center" vertical="center" wrapText="1"/>
      <protection/>
    </xf>
    <xf numFmtId="0" fontId="93" fillId="0" borderId="71" xfId="49" applyFont="1" applyBorder="1" applyAlignment="1">
      <alignment horizontal="center" vertical="center" wrapText="1"/>
      <protection/>
    </xf>
    <xf numFmtId="0" fontId="76" fillId="0" borderId="69" xfId="49" applyFont="1" applyBorder="1" applyAlignment="1">
      <alignment horizontal="center" vertical="center" wrapText="1"/>
      <protection/>
    </xf>
    <xf numFmtId="0" fontId="76" fillId="0" borderId="72" xfId="49" applyFont="1" applyBorder="1" applyAlignment="1">
      <alignment horizontal="center" vertical="center" wrapText="1"/>
      <protection/>
    </xf>
    <xf numFmtId="0" fontId="76" fillId="0" borderId="73" xfId="49" applyFont="1" applyBorder="1" applyAlignment="1">
      <alignment horizontal="center" vertical="center" wrapText="1"/>
      <protection/>
    </xf>
    <xf numFmtId="0" fontId="12" fillId="0" borderId="0" xfId="49" applyFont="1">
      <alignment/>
      <protection/>
    </xf>
    <xf numFmtId="0" fontId="12" fillId="0" borderId="0" xfId="49" applyFont="1" applyAlignment="1">
      <alignment wrapText="1"/>
      <protection/>
    </xf>
    <xf numFmtId="0" fontId="12" fillId="0" borderId="0" xfId="49" applyFont="1" applyAlignment="1">
      <alignment vertical="center"/>
      <protection/>
    </xf>
    <xf numFmtId="0" fontId="12" fillId="0" borderId="0" xfId="49" applyFont="1" applyAlignment="1">
      <alignment horizontal="right" vertical="center"/>
      <protection/>
    </xf>
    <xf numFmtId="0" fontId="12" fillId="0" borderId="0" xfId="49" applyFont="1" applyAlignment="1">
      <alignment horizontal="center" vertical="center" wrapText="1"/>
      <protection/>
    </xf>
    <xf numFmtId="0" fontId="25" fillId="0" borderId="0" xfId="49" applyFont="1" applyAlignment="1">
      <alignment vertical="center"/>
      <protection/>
    </xf>
    <xf numFmtId="0" fontId="12" fillId="0" borderId="0" xfId="49" applyFont="1" applyAlignment="1">
      <alignment horizontal="left" vertical="center"/>
      <protection/>
    </xf>
    <xf numFmtId="0" fontId="12" fillId="0" borderId="2" xfId="49" applyFont="1" applyBorder="1">
      <alignment/>
      <protection/>
    </xf>
    <xf numFmtId="0" fontId="16" fillId="0" borderId="74" xfId="49" applyFont="1" applyBorder="1" applyAlignment="1">
      <alignment horizontal="center" vertical="center" wrapText="1"/>
      <protection/>
    </xf>
    <xf numFmtId="0" fontId="16" fillId="0" borderId="75" xfId="49" applyFont="1" applyBorder="1" applyAlignment="1">
      <alignment horizontal="center" vertical="center" wrapText="1"/>
      <protection/>
    </xf>
    <xf numFmtId="0" fontId="16" fillId="0" borderId="76" xfId="49" applyFont="1" applyBorder="1" applyAlignment="1">
      <alignment horizontal="center" vertical="center" wrapText="1"/>
      <protection/>
    </xf>
    <xf numFmtId="0" fontId="26" fillId="0" borderId="0" xfId="49" applyFont="1" applyAlignment="1">
      <alignment horizontal="center" vertical="center" wrapText="1"/>
      <protection/>
    </xf>
    <xf numFmtId="0" fontId="16" fillId="0" borderId="0" xfId="49" applyFont="1" applyAlignment="1">
      <alignment horizontal="center" vertical="center" wrapText="1"/>
      <protection/>
    </xf>
    <xf numFmtId="0" fontId="17" fillId="0" borderId="0" xfId="0" applyFont="1" applyAlignment="1" applyProtection="1">
      <alignment vertical="top" wrapText="1"/>
      <protection hidden="1"/>
    </xf>
    <xf numFmtId="0" fontId="17" fillId="0" borderId="30" xfId="0" applyFont="1" applyBorder="1" applyAlignment="1" applyProtection="1">
      <alignment horizontal="right" vertical="center" indent="1"/>
      <protection hidden="1"/>
    </xf>
    <xf numFmtId="0" fontId="29" fillId="6" borderId="77" xfId="0" applyFont="1" applyFill="1" applyBorder="1" applyAlignment="1" applyProtection="1">
      <alignment horizontal="center" vertical="center"/>
      <protection hidden="1"/>
    </xf>
    <xf numFmtId="0" fontId="6" fillId="0" borderId="35" xfId="0" applyFont="1" applyBorder="1" applyProtection="1">
      <protection hidden="1"/>
    </xf>
    <xf numFmtId="0" fontId="6" fillId="4" borderId="37" xfId="0" applyFont="1" applyFill="1" applyBorder="1" applyAlignment="1" applyProtection="1">
      <alignment horizontal="center"/>
      <protection hidden="1"/>
    </xf>
    <xf numFmtId="0" fontId="6" fillId="0" borderId="37" xfId="0" applyFont="1" applyBorder="1" applyProtection="1">
      <protection hidden="1"/>
    </xf>
    <xf numFmtId="49" fontId="7" fillId="0" borderId="37" xfId="0" applyNumberFormat="1" applyFont="1" applyBorder="1" applyAlignment="1" applyProtection="1">
      <alignment horizontal="left"/>
      <protection hidden="1"/>
    </xf>
    <xf numFmtId="49" fontId="11" fillId="0" borderId="0" xfId="0" applyNumberFormat="1" applyFont="1" applyAlignment="1" applyProtection="1">
      <alignment horizontal="left"/>
      <protection hidden="1"/>
    </xf>
    <xf numFmtId="0" fontId="17" fillId="0" borderId="0" xfId="0" applyFont="1" applyAlignment="1" applyProtection="1">
      <alignment horizontal="center"/>
      <protection hidden="1"/>
    </xf>
    <xf numFmtId="49" fontId="29" fillId="6" borderId="37" xfId="0" applyNumberFormat="1" applyFont="1" applyFill="1" applyBorder="1" applyAlignment="1" applyProtection="1">
      <alignment horizontal="center" vertical="center"/>
      <protection locked="0"/>
    </xf>
    <xf numFmtId="0" fontId="17" fillId="0" borderId="37" xfId="0" applyFont="1" applyBorder="1" applyProtection="1">
      <protection hidden="1"/>
    </xf>
    <xf numFmtId="0" fontId="27" fillId="0" borderId="37" xfId="0" applyFont="1" applyBorder="1" applyProtection="1">
      <protection hidden="1"/>
    </xf>
    <xf numFmtId="0" fontId="17" fillId="0" borderId="49" xfId="0" applyFont="1" applyBorder="1" applyAlignment="1" applyProtection="1">
      <alignment horizontal="right" vertical="center" indent="1"/>
      <protection hidden="1"/>
    </xf>
    <xf numFmtId="0" fontId="17" fillId="0" borderId="37" xfId="0" applyFont="1" applyBorder="1" applyAlignment="1" applyProtection="1">
      <alignment horizontal="right" vertical="center" indent="1"/>
      <protection hidden="1"/>
    </xf>
    <xf numFmtId="0" fontId="27" fillId="0" borderId="37" xfId="0" applyFont="1" applyBorder="1" applyAlignment="1" applyProtection="1">
      <alignment horizontal="right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29" fillId="0" borderId="49" xfId="0" applyFont="1" applyBorder="1" applyAlignment="1" applyProtection="1">
      <alignment horizontal="right" vertical="center" indent="1"/>
      <protection hidden="1"/>
    </xf>
    <xf numFmtId="0" fontId="64" fillId="0" borderId="0" xfId="0" applyFont="1" applyAlignment="1" applyProtection="1">
      <alignment horizontal="center" vertical="center"/>
      <protection hidden="1"/>
    </xf>
    <xf numFmtId="0" fontId="32" fillId="0" borderId="37" xfId="0" applyFont="1" applyBorder="1" applyAlignment="1" applyProtection="1">
      <alignment horizontal="left"/>
      <protection hidden="1"/>
    </xf>
    <xf numFmtId="0" fontId="39" fillId="10" borderId="78" xfId="49" applyFont="1" applyFill="1" applyBorder="1">
      <alignment/>
      <protection/>
    </xf>
    <xf numFmtId="0" fontId="66" fillId="16" borderId="79" xfId="0" applyFont="1" applyFill="1" applyBorder="1" applyAlignment="1">
      <alignment horizontal="center" vertical="center" wrapText="1"/>
    </xf>
    <xf numFmtId="0" fontId="66" fillId="16" borderId="47" xfId="0" applyFont="1" applyFill="1" applyBorder="1" applyAlignment="1">
      <alignment horizontal="center" vertical="center" wrapText="1"/>
    </xf>
    <xf numFmtId="0" fontId="66" fillId="16" borderId="20" xfId="0" applyFont="1" applyFill="1" applyBorder="1" applyAlignment="1">
      <alignment horizontal="center" vertical="center" wrapText="1"/>
    </xf>
    <xf numFmtId="0" fontId="27" fillId="0" borderId="34" xfId="0" applyFont="1" applyBorder="1" applyAlignment="1" applyProtection="1">
      <alignment vertical="top" wrapText="1"/>
      <protection hidden="1"/>
    </xf>
    <xf numFmtId="0" fontId="27" fillId="0" borderId="35" xfId="0" applyFont="1" applyBorder="1" applyAlignment="1" applyProtection="1">
      <alignment vertical="top" wrapText="1"/>
      <protection hidden="1"/>
    </xf>
    <xf numFmtId="0" fontId="27" fillId="0" borderId="36" xfId="0" applyFont="1" applyBorder="1" applyAlignment="1" applyProtection="1">
      <alignment vertical="top" wrapText="1"/>
      <protection hidden="1"/>
    </xf>
    <xf numFmtId="0" fontId="43" fillId="0" borderId="0" xfId="0" applyFont="1" applyAlignment="1" applyProtection="1" quotePrefix="1">
      <alignment horizontal="center" vertical="center" wrapText="1"/>
      <protection hidden="1"/>
    </xf>
    <xf numFmtId="0" fontId="43" fillId="5" borderId="80" xfId="0" applyFont="1" applyFill="1" applyBorder="1" applyAlignment="1" applyProtection="1" quotePrefix="1">
      <alignment horizontal="center" vertical="center" wrapText="1"/>
      <protection hidden="1"/>
    </xf>
    <xf numFmtId="0" fontId="29" fillId="0" borderId="0" xfId="0" applyFont="1" applyAlignment="1" applyProtection="1">
      <alignment horizontal="right" vertical="center" indent="1"/>
      <protection hidden="1"/>
    </xf>
    <xf numFmtId="0" fontId="29" fillId="0" borderId="0" xfId="0" applyFont="1" applyAlignment="1" applyProtection="1">
      <alignment horizontal="center" vertical="center"/>
      <protection locked="0"/>
    </xf>
    <xf numFmtId="0" fontId="7" fillId="3" borderId="0" xfId="0" applyFont="1" applyFill="1" applyProtection="1">
      <protection hidden="1"/>
    </xf>
    <xf numFmtId="0" fontId="21" fillId="9" borderId="30" xfId="49" applyFont="1" applyFill="1" applyBorder="1" applyAlignment="1">
      <alignment horizontal="center" vertical="center" wrapText="1"/>
      <protection/>
    </xf>
    <xf numFmtId="0" fontId="50" fillId="9" borderId="81" xfId="49" applyFont="1" applyFill="1" applyBorder="1" applyAlignment="1">
      <alignment horizontal="center" vertical="center" wrapText="1"/>
      <protection/>
    </xf>
    <xf numFmtId="0" fontId="21" fillId="9" borderId="0" xfId="49" applyFont="1" applyFill="1" applyAlignment="1">
      <alignment vertical="center"/>
      <protection/>
    </xf>
    <xf numFmtId="0" fontId="21" fillId="9" borderId="2" xfId="49" applyFont="1" applyFill="1" applyBorder="1" applyAlignment="1">
      <alignment vertical="center"/>
      <protection/>
    </xf>
    <xf numFmtId="49" fontId="17" fillId="6" borderId="1" xfId="0" applyNumberFormat="1" applyFont="1" applyFill="1" applyBorder="1" applyAlignment="1">
      <alignment horizontal="center" vertical="center"/>
    </xf>
    <xf numFmtId="49" fontId="17" fillId="6" borderId="1" xfId="0" applyNumberFormat="1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/>
    </xf>
    <xf numFmtId="49" fontId="47" fillId="6" borderId="1" xfId="50" applyNumberFormat="1" applyFont="1" applyFill="1" applyBorder="1" applyAlignment="1" applyProtection="1">
      <alignment horizontal="center" vertical="center"/>
      <protection/>
    </xf>
    <xf numFmtId="49" fontId="29" fillId="6" borderId="1" xfId="0" applyNumberFormat="1" applyFont="1" applyFill="1" applyBorder="1" applyAlignment="1">
      <alignment horizontal="center" vertical="center"/>
    </xf>
    <xf numFmtId="49" fontId="17" fillId="6" borderId="1" xfId="49" applyNumberFormat="1" applyFont="1" applyFill="1" applyBorder="1" applyAlignment="1">
      <alignment horizontal="center" vertical="center"/>
      <protection/>
    </xf>
    <xf numFmtId="49" fontId="17" fillId="6" borderId="19" xfId="0" applyNumberFormat="1" applyFont="1" applyFill="1" applyBorder="1" applyAlignment="1">
      <alignment horizontal="center" vertical="center"/>
    </xf>
    <xf numFmtId="0" fontId="25" fillId="3" borderId="30" xfId="0" applyFont="1" applyFill="1" applyBorder="1" applyAlignment="1">
      <alignment horizontal="center" vertical="center"/>
    </xf>
    <xf numFmtId="0" fontId="25" fillId="3" borderId="30" xfId="0" applyFont="1" applyFill="1" applyBorder="1" applyAlignment="1">
      <alignment horizontal="center"/>
    </xf>
    <xf numFmtId="0" fontId="25" fillId="4" borderId="30" xfId="0" applyFont="1" applyFill="1" applyBorder="1" applyAlignment="1">
      <alignment horizontal="center"/>
    </xf>
    <xf numFmtId="0" fontId="6" fillId="3" borderId="30" xfId="0" applyFont="1" applyFill="1" applyBorder="1" applyProtection="1">
      <protection hidden="1" locked="0"/>
    </xf>
    <xf numFmtId="0" fontId="6" fillId="3" borderId="30" xfId="0" applyFont="1" applyFill="1" applyBorder="1" applyAlignment="1" applyProtection="1">
      <alignment vertical="center"/>
      <protection hidden="1" locked="0"/>
    </xf>
    <xf numFmtId="0" fontId="6" fillId="3" borderId="30" xfId="0" applyFont="1" applyFill="1" applyBorder="1" applyAlignment="1" applyProtection="1">
      <alignment horizontal="center"/>
      <protection hidden="1" locked="0"/>
    </xf>
    <xf numFmtId="0" fontId="46" fillId="0" borderId="30" xfId="49" applyFont="1" applyBorder="1" applyAlignment="1" applyProtection="1">
      <alignment vertical="center"/>
      <protection locked="0"/>
    </xf>
    <xf numFmtId="1" fontId="6" fillId="3" borderId="30" xfId="0" applyNumberFormat="1" applyFont="1" applyFill="1" applyBorder="1" applyAlignment="1" applyProtection="1">
      <alignment horizontal="left"/>
      <protection hidden="1" locked="0"/>
    </xf>
    <xf numFmtId="0" fontId="6" fillId="3" borderId="30" xfId="0" applyFont="1" applyFill="1" applyBorder="1" applyAlignment="1" applyProtection="1">
      <alignment horizontal="left"/>
      <protection hidden="1" locked="0"/>
    </xf>
    <xf numFmtId="49" fontId="17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76" fillId="0" borderId="0" xfId="49" applyFont="1" applyAlignment="1" applyProtection="1">
      <alignment horizontal="center" vertical="center" wrapText="1"/>
      <protection locked="0"/>
    </xf>
    <xf numFmtId="0" fontId="73" fillId="0" borderId="0" xfId="49" applyFont="1" applyAlignment="1" applyProtection="1">
      <alignment horizontal="center" vertical="center"/>
      <protection locked="0"/>
    </xf>
    <xf numFmtId="0" fontId="76" fillId="0" borderId="30" xfId="49" applyFont="1" applyBorder="1" applyAlignment="1">
      <alignment horizontal="center" vertical="center" wrapText="1"/>
      <protection/>
    </xf>
    <xf numFmtId="0" fontId="76" fillId="0" borderId="30" xfId="49" applyFont="1" applyBorder="1" applyAlignment="1" applyProtection="1">
      <alignment horizontal="center" vertical="center" wrapText="1"/>
      <protection locked="0"/>
    </xf>
    <xf numFmtId="0" fontId="73" fillId="0" borderId="30" xfId="49" applyFont="1" applyBorder="1" applyAlignment="1" applyProtection="1">
      <alignment horizontal="center" vertical="center"/>
      <protection locked="0"/>
    </xf>
    <xf numFmtId="0" fontId="17" fillId="0" borderId="30" xfId="49" applyFont="1" applyBorder="1" applyAlignment="1" applyProtection="1">
      <alignment horizontal="center" vertical="center"/>
      <protection locked="0"/>
    </xf>
    <xf numFmtId="49" fontId="73" fillId="0" borderId="30" xfId="49" applyNumberFormat="1" applyFont="1" applyBorder="1" applyAlignment="1" applyProtection="1">
      <alignment horizontal="center" vertical="center"/>
      <protection locked="0"/>
    </xf>
    <xf numFmtId="49" fontId="75" fillId="0" borderId="30" xfId="50" applyNumberFormat="1" applyFont="1" applyFill="1" applyBorder="1" applyAlignment="1" applyProtection="1">
      <alignment horizontal="center" vertical="center"/>
      <protection locked="0"/>
    </xf>
    <xf numFmtId="49" fontId="17" fillId="0" borderId="30" xfId="49" applyNumberFormat="1" applyFont="1" applyBorder="1" applyAlignment="1" applyProtection="1">
      <alignment horizontal="center" vertical="center"/>
      <protection locked="0"/>
    </xf>
    <xf numFmtId="0" fontId="6" fillId="0" borderId="9" xfId="0" applyFont="1" applyBorder="1"/>
    <xf numFmtId="0" fontId="6" fillId="0" borderId="0" xfId="0" applyFont="1" applyAlignment="1">
      <alignment vertical="center"/>
    </xf>
    <xf numFmtId="0" fontId="52" fillId="0" borderId="33" xfId="49" applyFont="1" applyBorder="1" applyAlignment="1">
      <alignment vertical="center" wrapText="1"/>
      <protection/>
    </xf>
    <xf numFmtId="0" fontId="52" fillId="0" borderId="82" xfId="49" applyFont="1" applyBorder="1" applyAlignment="1">
      <alignment vertical="center" wrapText="1"/>
      <protection/>
    </xf>
    <xf numFmtId="0" fontId="5" fillId="0" borderId="0" xfId="0" applyFont="1" applyAlignment="1">
      <alignment horizontal="center" vertical="center"/>
    </xf>
    <xf numFmtId="0" fontId="52" fillId="0" borderId="0" xfId="49" applyFont="1" applyAlignment="1">
      <alignment vertical="center" wrapText="1"/>
      <protection/>
    </xf>
    <xf numFmtId="0" fontId="52" fillId="0" borderId="0" xfId="49" applyFont="1" applyAlignment="1">
      <alignment horizontal="center" vertical="center" wrapText="1"/>
      <protection/>
    </xf>
    <xf numFmtId="0" fontId="16" fillId="0" borderId="30" xfId="0" applyFont="1" applyBorder="1" applyAlignment="1">
      <alignment horizontal="center" vertical="center" wrapText="1"/>
    </xf>
    <xf numFmtId="0" fontId="26" fillId="0" borderId="30" xfId="49" applyFont="1" applyBorder="1" applyAlignment="1">
      <alignment horizontal="center" vertical="center" wrapText="1"/>
      <protection/>
    </xf>
    <xf numFmtId="49" fontId="7" fillId="0" borderId="30" xfId="0" applyNumberFormat="1" applyFont="1" applyBorder="1" applyAlignment="1">
      <alignment horizontal="left"/>
    </xf>
    <xf numFmtId="0" fontId="0" fillId="0" borderId="30" xfId="0" applyFont="1" applyBorder="1"/>
    <xf numFmtId="0" fontId="67" fillId="0" borderId="30" xfId="0" applyFont="1" applyBorder="1"/>
    <xf numFmtId="0" fontId="63" fillId="7" borderId="34" xfId="0" applyFont="1" applyFill="1" applyBorder="1"/>
    <xf numFmtId="0" fontId="63" fillId="7" borderId="35" xfId="0" applyFont="1" applyFill="1" applyBorder="1"/>
    <xf numFmtId="0" fontId="0" fillId="7" borderId="35" xfId="0" applyFill="1" applyBorder="1"/>
    <xf numFmtId="0" fontId="63" fillId="7" borderId="35" xfId="0" applyFont="1" applyFill="1" applyBorder="1" applyAlignment="1">
      <alignment horizontal="center"/>
    </xf>
    <xf numFmtId="0" fontId="0" fillId="7" borderId="36" xfId="0" applyFill="1" applyBorder="1"/>
    <xf numFmtId="0" fontId="0" fillId="7" borderId="37" xfId="0" applyFill="1" applyBorder="1"/>
    <xf numFmtId="0" fontId="0" fillId="7" borderId="0" xfId="0" applyFill="1"/>
    <xf numFmtId="0" fontId="0" fillId="7" borderId="38" xfId="0" applyFill="1" applyBorder="1"/>
    <xf numFmtId="0" fontId="0" fillId="7" borderId="0" xfId="0" applyFont="1" applyFill="1"/>
    <xf numFmtId="0" fontId="44" fillId="7" borderId="0" xfId="0" applyFont="1" applyFill="1" applyAlignment="1">
      <alignment wrapText="1"/>
    </xf>
    <xf numFmtId="0" fontId="0" fillId="17" borderId="83" xfId="0" applyFont="1" applyFill="1" applyBorder="1" applyAlignment="1">
      <alignment horizontal="center"/>
    </xf>
    <xf numFmtId="0" fontId="0" fillId="7" borderId="0" xfId="0" applyFont="1" applyFill="1" applyAlignment="1">
      <alignment wrapText="1"/>
    </xf>
    <xf numFmtId="0" fontId="0" fillId="17" borderId="83" xfId="0" applyFont="1" applyFill="1" applyBorder="1" applyAlignment="1">
      <alignment horizontal="center" wrapText="1"/>
    </xf>
    <xf numFmtId="0" fontId="0" fillId="7" borderId="39" xfId="0" applyFill="1" applyBorder="1"/>
    <xf numFmtId="0" fontId="0" fillId="7" borderId="40" xfId="0" applyFill="1" applyBorder="1"/>
    <xf numFmtId="0" fontId="0" fillId="7" borderId="41" xfId="0" applyFill="1" applyBorder="1"/>
    <xf numFmtId="0" fontId="67" fillId="0" borderId="0" xfId="0" applyFont="1" applyAlignment="1">
      <alignment horizontal="left"/>
    </xf>
    <xf numFmtId="0" fontId="67" fillId="0" borderId="0" xfId="0" applyFont="1" applyAlignment="1">
      <alignment horizontal="left" wrapText="1"/>
    </xf>
    <xf numFmtId="0" fontId="7" fillId="3" borderId="61" xfId="0" applyFont="1" applyFill="1" applyBorder="1" applyAlignment="1" applyProtection="1">
      <alignment horizontal="left"/>
      <protection hidden="1"/>
    </xf>
    <xf numFmtId="0" fontId="7" fillId="3" borderId="61" xfId="0" applyFont="1" applyFill="1" applyBorder="1" applyAlignment="1" applyProtection="1">
      <alignment horizontal="left" vertical="center"/>
      <protection hidden="1"/>
    </xf>
    <xf numFmtId="49" fontId="7" fillId="3" borderId="68" xfId="0" applyNumberFormat="1" applyFont="1" applyFill="1" applyBorder="1" applyAlignment="1" applyProtection="1">
      <alignment horizontal="left"/>
      <protection hidden="1"/>
    </xf>
    <xf numFmtId="0" fontId="67" fillId="0" borderId="61" xfId="0" applyFont="1" applyBorder="1" applyAlignment="1">
      <alignment horizontal="left" vertical="top"/>
    </xf>
    <xf numFmtId="0" fontId="58" fillId="0" borderId="0" xfId="49" applyFont="1" applyAlignment="1">
      <alignment horizontal="right" vertical="center"/>
      <protection/>
    </xf>
    <xf numFmtId="0" fontId="39" fillId="10" borderId="80" xfId="49" applyFont="1" applyFill="1" applyBorder="1" applyAlignment="1">
      <alignment horizontal="right"/>
      <protection/>
    </xf>
    <xf numFmtId="49" fontId="17" fillId="5" borderId="0" xfId="0" applyNumberFormat="1" applyFont="1" applyFill="1" applyAlignment="1" applyProtection="1">
      <alignment horizontal="right" vertical="center" wrapText="1" indent="1"/>
      <protection hidden="1"/>
    </xf>
    <xf numFmtId="0" fontId="43" fillId="5" borderId="0" xfId="0" applyFont="1" applyFill="1" applyAlignment="1" applyProtection="1" quotePrefix="1">
      <alignment horizontal="left" wrapText="1" indent="2"/>
      <protection hidden="1"/>
    </xf>
    <xf numFmtId="0" fontId="21" fillId="11" borderId="0" xfId="49" applyFont="1" applyFill="1" applyAlignment="1">
      <alignment horizontal="right" vertical="center"/>
      <protection/>
    </xf>
    <xf numFmtId="0" fontId="21" fillId="11" borderId="2" xfId="49" applyFont="1" applyFill="1" applyBorder="1" applyAlignment="1">
      <alignment horizontal="right" vertical="center"/>
      <protection/>
    </xf>
    <xf numFmtId="0" fontId="41" fillId="10" borderId="9" xfId="49" applyFont="1" applyFill="1" applyBorder="1" applyAlignment="1">
      <alignment horizontal="right" vertical="center"/>
      <protection/>
    </xf>
    <xf numFmtId="0" fontId="41" fillId="10" borderId="2" xfId="49" applyFont="1" applyFill="1" applyBorder="1" applyAlignment="1">
      <alignment horizontal="right" vertical="center"/>
      <protection/>
    </xf>
    <xf numFmtId="49" fontId="38" fillId="5" borderId="0" xfId="49" applyNumberFormat="1" applyFont="1" applyFill="1" applyAlignment="1">
      <alignment horizontal="left" vertical="center"/>
      <protection/>
    </xf>
    <xf numFmtId="0" fontId="39" fillId="10" borderId="77" xfId="49" applyFont="1" applyFill="1" applyBorder="1" applyAlignment="1">
      <alignment horizontal="right"/>
      <protection/>
    </xf>
    <xf numFmtId="0" fontId="39" fillId="10" borderId="81" xfId="49" applyFont="1" applyFill="1" applyBorder="1" applyAlignment="1">
      <alignment horizontal="right"/>
      <protection/>
    </xf>
    <xf numFmtId="49" fontId="29" fillId="5" borderId="0" xfId="0" applyNumberFormat="1" applyFont="1" applyFill="1" applyAlignment="1" applyProtection="1">
      <alignment horizontal="right" vertical="center" wrapText="1" indent="1"/>
      <protection hidden="1"/>
    </xf>
    <xf numFmtId="49" fontId="17" fillId="5" borderId="9" xfId="0" applyNumberFormat="1" applyFont="1" applyFill="1" applyBorder="1" applyAlignment="1" applyProtection="1">
      <alignment horizontal="right" vertical="center" wrapText="1" indent="1"/>
      <protection hidden="1"/>
    </xf>
    <xf numFmtId="0" fontId="0" fillId="0" borderId="0" xfId="0" applyAlignment="1">
      <alignment horizontal="right" vertical="center" wrapText="1" indent="1"/>
    </xf>
    <xf numFmtId="0" fontId="21" fillId="9" borderId="0" xfId="49" applyFont="1" applyFill="1" applyAlignment="1">
      <alignment horizontal="right" vertical="center"/>
      <protection/>
    </xf>
    <xf numFmtId="0" fontId="0" fillId="0" borderId="47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48" xfId="0" applyBorder="1" applyAlignment="1" applyProtection="1">
      <alignment horizontal="center" vertical="center"/>
      <protection locked="0"/>
    </xf>
    <xf numFmtId="0" fontId="0" fillId="0" borderId="47" xfId="0" applyFont="1" applyBorder="1" applyAlignment="1" applyProtection="1">
      <alignment horizontal="center" vertical="center"/>
      <protection locked="0"/>
    </xf>
    <xf numFmtId="0" fontId="0" fillId="0" borderId="79" xfId="0" applyBorder="1" applyAlignment="1" applyProtection="1">
      <alignment horizontal="center" vertical="center"/>
      <protection locked="0"/>
    </xf>
    <xf numFmtId="0" fontId="0" fillId="0" borderId="49" xfId="0" applyBorder="1" applyAlignment="1" applyProtection="1">
      <alignment horizontal="center" vertical="center"/>
      <protection locked="0"/>
    </xf>
    <xf numFmtId="0" fontId="0" fillId="0" borderId="84" xfId="0" applyBorder="1" applyAlignment="1" applyProtection="1">
      <alignment horizontal="center" vertical="center"/>
      <protection locked="0"/>
    </xf>
    <xf numFmtId="0" fontId="23" fillId="11" borderId="0" xfId="49" applyFont="1" applyFill="1" applyAlignment="1">
      <alignment horizontal="right" vertical="center"/>
      <protection/>
    </xf>
    <xf numFmtId="0" fontId="37" fillId="6" borderId="85" xfId="49" applyFont="1" applyFill="1" applyBorder="1" applyAlignment="1" applyProtection="1">
      <alignment horizontal="center" vertical="center"/>
      <protection locked="0"/>
    </xf>
    <xf numFmtId="0" fontId="37" fillId="6" borderId="86" xfId="49" applyFont="1" applyFill="1" applyBorder="1" applyAlignment="1" applyProtection="1">
      <alignment horizontal="center" vertical="center"/>
      <protection locked="0"/>
    </xf>
    <xf numFmtId="0" fontId="37" fillId="6" borderId="87" xfId="49" applyFont="1" applyFill="1" applyBorder="1" applyAlignment="1" applyProtection="1">
      <alignment horizontal="center" vertical="center"/>
      <protection locked="0"/>
    </xf>
    <xf numFmtId="0" fontId="36" fillId="0" borderId="88" xfId="49" applyFont="1" applyBorder="1" applyAlignment="1">
      <alignment horizontal="center" vertical="center"/>
      <protection/>
    </xf>
    <xf numFmtId="0" fontId="36" fillId="0" borderId="89" xfId="49" applyFont="1" applyBorder="1" applyAlignment="1">
      <alignment horizontal="center" vertical="center"/>
      <protection/>
    </xf>
    <xf numFmtId="0" fontId="36" fillId="0" borderId="90" xfId="49" applyFont="1" applyBorder="1" applyAlignment="1">
      <alignment horizontal="center" vertical="center"/>
      <protection/>
    </xf>
    <xf numFmtId="0" fontId="28" fillId="0" borderId="91" xfId="49" applyFont="1" applyBorder="1" applyAlignment="1">
      <alignment horizontal="center" vertical="center" wrapText="1"/>
      <protection/>
    </xf>
    <xf numFmtId="0" fontId="28" fillId="0" borderId="92" xfId="49" applyFont="1" applyBorder="1" applyAlignment="1">
      <alignment horizontal="center" vertical="center"/>
      <protection/>
    </xf>
    <xf numFmtId="0" fontId="28" fillId="0" borderId="93" xfId="49" applyFont="1" applyBorder="1" applyAlignment="1">
      <alignment horizontal="center" vertical="center" wrapText="1"/>
      <protection/>
    </xf>
    <xf numFmtId="0" fontId="28" fillId="0" borderId="94" xfId="49" applyFont="1" applyBorder="1" applyAlignment="1">
      <alignment horizontal="center" vertical="center"/>
      <protection/>
    </xf>
    <xf numFmtId="0" fontId="40" fillId="0" borderId="0" xfId="49" applyFont="1" applyAlignment="1">
      <alignment horizontal="right" vertical="center"/>
      <protection/>
    </xf>
    <xf numFmtId="0" fontId="28" fillId="0" borderId="93" xfId="49" applyFont="1" applyBorder="1" applyAlignment="1">
      <alignment horizontal="center" vertical="center"/>
      <protection/>
    </xf>
    <xf numFmtId="0" fontId="0" fillId="6" borderId="47" xfId="0" applyFont="1" applyFill="1" applyBorder="1" applyAlignment="1" applyProtection="1">
      <alignment horizontal="center" vertical="center"/>
      <protection locked="0"/>
    </xf>
    <xf numFmtId="0" fontId="0" fillId="6" borderId="30" xfId="0" applyFill="1" applyBorder="1" applyAlignment="1" applyProtection="1">
      <alignment horizontal="center" vertical="center"/>
      <protection locked="0"/>
    </xf>
    <xf numFmtId="0" fontId="0" fillId="6" borderId="48" xfId="0" applyFill="1" applyBorder="1" applyAlignment="1" applyProtection="1">
      <alignment horizontal="center" vertical="center"/>
      <protection locked="0"/>
    </xf>
    <xf numFmtId="0" fontId="0" fillId="6" borderId="79" xfId="0" applyFill="1" applyBorder="1" applyAlignment="1" applyProtection="1">
      <alignment horizontal="center" vertical="center"/>
      <protection locked="0"/>
    </xf>
    <xf numFmtId="0" fontId="0" fillId="6" borderId="49" xfId="0" applyFill="1" applyBorder="1" applyAlignment="1" applyProtection="1">
      <alignment horizontal="center" vertical="center"/>
      <protection locked="0"/>
    </xf>
    <xf numFmtId="0" fontId="0" fillId="6" borderId="84" xfId="0" applyFill="1" applyBorder="1" applyAlignment="1" applyProtection="1">
      <alignment horizontal="center" vertical="center"/>
      <protection locked="0"/>
    </xf>
    <xf numFmtId="0" fontId="0" fillId="6" borderId="47" xfId="0" applyFill="1" applyBorder="1" applyAlignment="1" applyProtection="1">
      <alignment horizontal="center" vertical="center"/>
      <protection locked="0"/>
    </xf>
    <xf numFmtId="0" fontId="23" fillId="11" borderId="2" xfId="49" applyFont="1" applyFill="1" applyBorder="1" applyAlignment="1">
      <alignment horizontal="right" vertical="center"/>
      <protection/>
    </xf>
    <xf numFmtId="0" fontId="30" fillId="0" borderId="0" xfId="0" applyFont="1" applyAlignment="1" applyProtection="1">
      <alignment horizontal="center" wrapText="1"/>
      <protection hidden="1"/>
    </xf>
    <xf numFmtId="0" fontId="30" fillId="0" borderId="28" xfId="0" applyFont="1" applyBorder="1" applyAlignment="1" applyProtection="1">
      <alignment horizontal="center" wrapText="1"/>
      <protection hidden="1"/>
    </xf>
    <xf numFmtId="0" fontId="17" fillId="0" borderId="27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17" fillId="0" borderId="0" xfId="0" applyFont="1" applyAlignment="1" applyProtection="1">
      <alignment vertical="top" wrapText="1"/>
      <protection hidden="1"/>
    </xf>
    <xf numFmtId="0" fontId="30" fillId="0" borderId="28" xfId="49" applyFont="1" applyBorder="1" applyAlignment="1" applyProtection="1">
      <alignment horizontal="left" vertical="top" wrapText="1"/>
      <protection hidden="1"/>
    </xf>
    <xf numFmtId="0" fontId="12" fillId="6" borderId="95" xfId="0" applyFont="1" applyFill="1" applyBorder="1" applyAlignment="1" applyProtection="1">
      <alignment horizontal="center" vertical="center" wrapText="1"/>
      <protection locked="0"/>
    </xf>
    <xf numFmtId="0" fontId="12" fillId="6" borderId="96" xfId="0" applyFont="1" applyFill="1" applyBorder="1" applyAlignment="1" applyProtection="1">
      <alignment horizontal="center" vertical="center" wrapText="1"/>
      <protection locked="0"/>
    </xf>
    <xf numFmtId="0" fontId="12" fillId="6" borderId="33" xfId="0" applyFont="1" applyFill="1" applyBorder="1" applyAlignment="1" applyProtection="1">
      <alignment horizontal="center" vertical="center" wrapText="1"/>
      <protection locked="0"/>
    </xf>
    <xf numFmtId="0" fontId="12" fillId="6" borderId="82" xfId="0" applyFont="1" applyFill="1" applyBorder="1" applyAlignment="1" applyProtection="1">
      <alignment horizontal="center" vertical="center" wrapText="1"/>
      <protection locked="0"/>
    </xf>
    <xf numFmtId="0" fontId="12" fillId="6" borderId="97" xfId="0" applyFont="1" applyFill="1" applyBorder="1" applyAlignment="1" applyProtection="1">
      <alignment horizontal="center" vertical="center" wrapText="1"/>
      <protection locked="0"/>
    </xf>
    <xf numFmtId="0" fontId="12" fillId="6" borderId="98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vertical="top"/>
      <protection hidden="1"/>
    </xf>
    <xf numFmtId="0" fontId="20" fillId="0" borderId="0" xfId="0" applyFont="1" applyAlignment="1">
      <alignment vertical="top"/>
    </xf>
    <xf numFmtId="49" fontId="29" fillId="6" borderId="43" xfId="0" applyNumberFormat="1" applyFont="1" applyFill="1" applyBorder="1" applyAlignment="1" applyProtection="1">
      <alignment horizontal="center" vertical="center"/>
      <protection hidden="1"/>
    </xf>
    <xf numFmtId="49" fontId="29" fillId="6" borderId="99" xfId="0" applyNumberFormat="1" applyFont="1" applyFill="1" applyBorder="1" applyAlignment="1" applyProtection="1">
      <alignment horizontal="center" vertical="center"/>
      <protection hidden="1"/>
    </xf>
    <xf numFmtId="0" fontId="17" fillId="0" borderId="15" xfId="0" applyFont="1" applyBorder="1" applyAlignment="1" applyProtection="1">
      <alignment horizontal="center"/>
      <protection hidden="1"/>
    </xf>
    <xf numFmtId="0" fontId="29" fillId="0" borderId="13" xfId="49" applyFont="1" applyBorder="1" applyAlignment="1" applyProtection="1">
      <alignment horizontal="left" wrapText="1"/>
      <protection hidden="1"/>
    </xf>
    <xf numFmtId="0" fontId="29" fillId="0" borderId="0" xfId="49" applyFont="1" applyAlignment="1" applyProtection="1">
      <alignment horizontal="left" wrapText="1"/>
      <protection hidden="1"/>
    </xf>
    <xf numFmtId="0" fontId="62" fillId="9" borderId="9" xfId="49" applyFont="1" applyFill="1" applyBorder="1" applyAlignment="1">
      <alignment horizontal="center" vertical="center"/>
      <protection/>
    </xf>
    <xf numFmtId="0" fontId="62" fillId="9" borderId="10" xfId="49" applyFont="1" applyFill="1" applyBorder="1" applyAlignment="1">
      <alignment horizontal="center" vertical="center"/>
      <protection/>
    </xf>
    <xf numFmtId="0" fontId="62" fillId="9" borderId="0" xfId="49" applyFont="1" applyFill="1" applyAlignment="1">
      <alignment horizontal="center" vertical="center"/>
      <protection/>
    </xf>
    <xf numFmtId="0" fontId="62" fillId="9" borderId="4" xfId="49" applyFont="1" applyFill="1" applyBorder="1" applyAlignment="1">
      <alignment horizontal="center" vertical="center"/>
      <protection/>
    </xf>
    <xf numFmtId="0" fontId="62" fillId="9" borderId="34" xfId="49" applyFont="1" applyFill="1" applyBorder="1" applyAlignment="1">
      <alignment horizontal="center" vertical="center"/>
      <protection/>
    </xf>
    <xf numFmtId="0" fontId="62" fillId="9" borderId="35" xfId="49" applyFont="1" applyFill="1" applyBorder="1" applyAlignment="1">
      <alignment horizontal="center" vertical="center"/>
      <protection/>
    </xf>
    <xf numFmtId="0" fontId="62" fillId="9" borderId="37" xfId="49" applyFont="1" applyFill="1" applyBorder="1" applyAlignment="1">
      <alignment horizontal="center" vertical="center"/>
      <protection/>
    </xf>
    <xf numFmtId="0" fontId="7" fillId="0" borderId="37" xfId="0" applyFont="1" applyBorder="1" applyAlignment="1" applyProtection="1">
      <alignment horizontal="center" vertical="center" wrapText="1"/>
      <protection hidden="1"/>
    </xf>
    <xf numFmtId="0" fontId="17" fillId="0" borderId="37" xfId="0" applyFont="1" applyBorder="1" applyAlignment="1" applyProtection="1">
      <alignment horizontal="center"/>
      <protection hidden="1"/>
    </xf>
    <xf numFmtId="0" fontId="17" fillId="0" borderId="0" xfId="0" applyFont="1" applyAlignment="1" applyProtection="1">
      <alignment horizontal="center"/>
      <protection hidden="1"/>
    </xf>
    <xf numFmtId="0" fontId="41" fillId="10" borderId="37" xfId="49" applyFont="1" applyFill="1" applyBorder="1" applyAlignment="1">
      <alignment horizontal="center" vertical="center"/>
      <protection/>
    </xf>
    <xf numFmtId="0" fontId="41" fillId="10" borderId="0" xfId="49" applyFont="1" applyFill="1" applyAlignment="1">
      <alignment horizontal="center" vertical="center"/>
      <protection/>
    </xf>
    <xf numFmtId="0" fontId="41" fillId="10" borderId="38" xfId="49" applyFont="1" applyFill="1" applyBorder="1" applyAlignment="1">
      <alignment horizontal="center" vertical="center"/>
      <protection/>
    </xf>
    <xf numFmtId="0" fontId="17" fillId="0" borderId="37" xfId="0" applyFont="1" applyBorder="1" applyAlignment="1" applyProtection="1">
      <alignment vertical="top" wrapText="1"/>
      <protection hidden="1"/>
    </xf>
    <xf numFmtId="0" fontId="27" fillId="0" borderId="37" xfId="0" applyFont="1" applyBorder="1" applyAlignment="1" applyProtection="1">
      <alignment horizontal="left" vertical="top" wrapText="1"/>
      <protection hidden="1"/>
    </xf>
    <xf numFmtId="0" fontId="27" fillId="0" borderId="0" xfId="0" applyFont="1" applyAlignment="1" applyProtection="1">
      <alignment horizontal="left" vertical="top" wrapText="1"/>
      <protection hidden="1"/>
    </xf>
    <xf numFmtId="0" fontId="27" fillId="0" borderId="38" xfId="0" applyFont="1" applyBorder="1" applyAlignment="1" applyProtection="1">
      <alignment horizontal="left" vertical="top" wrapText="1"/>
      <protection hidden="1"/>
    </xf>
    <xf numFmtId="0" fontId="27" fillId="0" borderId="39" xfId="0" applyFont="1" applyBorder="1" applyAlignment="1" applyProtection="1">
      <alignment horizontal="left" vertical="top" wrapText="1"/>
      <protection hidden="1"/>
    </xf>
    <xf numFmtId="0" fontId="27" fillId="0" borderId="40" xfId="0" applyFont="1" applyBorder="1" applyAlignment="1" applyProtection="1">
      <alignment horizontal="left" vertical="top" wrapText="1"/>
      <protection hidden="1"/>
    </xf>
    <xf numFmtId="0" fontId="27" fillId="0" borderId="41" xfId="0" applyFont="1" applyBorder="1" applyAlignment="1" applyProtection="1">
      <alignment horizontal="left" vertical="top" wrapText="1"/>
      <protection hidden="1"/>
    </xf>
    <xf numFmtId="0" fontId="62" fillId="9" borderId="38" xfId="49" applyFont="1" applyFill="1" applyBorder="1" applyAlignment="1">
      <alignment horizontal="center" vertical="center"/>
      <protection/>
    </xf>
    <xf numFmtId="0" fontId="62" fillId="9" borderId="2" xfId="49" applyFont="1" applyFill="1" applyBorder="1" applyAlignment="1">
      <alignment horizontal="center" vertical="center"/>
      <protection/>
    </xf>
    <xf numFmtId="0" fontId="62" fillId="9" borderId="12" xfId="49" applyFont="1" applyFill="1" applyBorder="1" applyAlignment="1">
      <alignment horizontal="center" vertical="center"/>
      <protection/>
    </xf>
    <xf numFmtId="0" fontId="41" fillId="10" borderId="9" xfId="49" applyFont="1" applyFill="1" applyBorder="1" applyAlignment="1">
      <alignment horizontal="center" vertical="center"/>
      <protection/>
    </xf>
    <xf numFmtId="0" fontId="41" fillId="10" borderId="2" xfId="49" applyFont="1" applyFill="1" applyBorder="1" applyAlignment="1">
      <alignment horizontal="center" vertical="center"/>
      <protection/>
    </xf>
    <xf numFmtId="49" fontId="17" fillId="0" borderId="30" xfId="0" applyNumberFormat="1" applyFont="1" applyBorder="1" applyAlignment="1">
      <alignment horizontal="left"/>
    </xf>
    <xf numFmtId="0" fontId="67" fillId="0" borderId="68" xfId="0" applyFont="1" applyBorder="1" applyAlignment="1">
      <alignment horizontal="left" vertical="top"/>
    </xf>
    <xf numFmtId="0" fontId="67" fillId="0" borderId="100" xfId="0" applyFont="1" applyBorder="1" applyAlignment="1">
      <alignment horizontal="left" vertical="top"/>
    </xf>
    <xf numFmtId="0" fontId="7" fillId="3" borderId="68" xfId="0" applyFont="1" applyFill="1" applyBorder="1" applyAlignment="1" applyProtection="1">
      <alignment horizontal="left" vertical="center"/>
      <protection hidden="1"/>
    </xf>
    <xf numFmtId="0" fontId="7" fillId="3" borderId="100" xfId="0" applyFont="1" applyFill="1" applyBorder="1" applyAlignment="1" applyProtection="1">
      <alignment horizontal="left" vertical="center"/>
      <protection hidden="1"/>
    </xf>
    <xf numFmtId="9" fontId="48" fillId="6" borderId="95" xfId="82" applyNumberFormat="1" applyFont="1" applyFill="1" applyBorder="1" applyAlignment="1" applyProtection="1">
      <alignment horizontal="center" vertical="center"/>
      <protection/>
    </xf>
    <xf numFmtId="9" fontId="48" fillId="6" borderId="96" xfId="82" applyNumberFormat="1" applyFont="1" applyFill="1" applyBorder="1" applyAlignment="1" applyProtection="1">
      <alignment horizontal="center" vertical="center"/>
      <protection/>
    </xf>
    <xf numFmtId="9" fontId="48" fillId="6" borderId="97" xfId="82" applyNumberFormat="1" applyFont="1" applyFill="1" applyBorder="1" applyAlignment="1" applyProtection="1">
      <alignment horizontal="center" vertical="center"/>
      <protection/>
    </xf>
    <xf numFmtId="9" fontId="48" fillId="6" borderId="98" xfId="82" applyNumberFormat="1" applyFont="1" applyFill="1" applyBorder="1" applyAlignment="1" applyProtection="1">
      <alignment horizontal="center" vertical="center"/>
      <protection/>
    </xf>
    <xf numFmtId="49" fontId="49" fillId="3" borderId="0" xfId="0" applyNumberFormat="1" applyFont="1" applyFill="1" applyAlignment="1" applyProtection="1">
      <alignment horizontal="center" vertical="center"/>
      <protection hidden="1"/>
    </xf>
    <xf numFmtId="49" fontId="49" fillId="3" borderId="82" xfId="0" applyNumberFormat="1" applyFont="1" applyFill="1" applyBorder="1" applyAlignment="1" applyProtection="1">
      <alignment horizontal="center" vertical="center"/>
      <protection hidden="1"/>
    </xf>
    <xf numFmtId="0" fontId="46" fillId="10" borderId="0" xfId="49" applyFont="1" applyFill="1" applyAlignment="1">
      <alignment horizontal="center" vertical="center"/>
      <protection/>
    </xf>
    <xf numFmtId="49" fontId="25" fillId="6" borderId="80" xfId="0" applyNumberFormat="1" applyFont="1" applyFill="1" applyBorder="1" applyAlignment="1">
      <alignment horizontal="center" vertical="center" wrapText="1"/>
    </xf>
    <xf numFmtId="49" fontId="25" fillId="6" borderId="2" xfId="0" applyNumberFormat="1" applyFont="1" applyFill="1" applyBorder="1" applyAlignment="1">
      <alignment horizontal="center" vertical="center" wrapText="1"/>
    </xf>
    <xf numFmtId="0" fontId="67" fillId="0" borderId="68" xfId="0" applyFont="1" applyBorder="1" applyAlignment="1">
      <alignment horizontal="left" vertical="top" wrapText="1"/>
    </xf>
    <xf numFmtId="0" fontId="67" fillId="0" borderId="100" xfId="0" applyFont="1" applyBorder="1" applyAlignment="1">
      <alignment horizontal="left" vertical="top" wrapText="1"/>
    </xf>
    <xf numFmtId="0" fontId="67" fillId="0" borderId="61" xfId="0" applyFont="1" applyBorder="1" applyAlignment="1">
      <alignment horizontal="left" vertical="top" wrapText="1"/>
    </xf>
    <xf numFmtId="0" fontId="46" fillId="10" borderId="9" xfId="49" applyFont="1" applyFill="1" applyBorder="1" applyAlignment="1" applyProtection="1">
      <alignment horizontal="center" vertical="center"/>
      <protection locked="0"/>
    </xf>
    <xf numFmtId="0" fontId="5" fillId="0" borderId="43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99" xfId="0" applyFont="1" applyBorder="1" applyAlignment="1">
      <alignment horizontal="center" vertical="center"/>
    </xf>
    <xf numFmtId="0" fontId="23" fillId="0" borderId="0" xfId="49" applyFont="1" applyAlignment="1">
      <alignment horizontal="right" vertical="center"/>
      <protection/>
    </xf>
    <xf numFmtId="0" fontId="54" fillId="4" borderId="0" xfId="49" applyFont="1" applyFill="1" applyAlignment="1">
      <alignment horizontal="left" wrapText="1"/>
      <protection/>
    </xf>
    <xf numFmtId="0" fontId="57" fillId="0" borderId="0" xfId="49" applyFont="1" applyAlignment="1">
      <alignment horizontal="left" vertical="top" wrapText="1"/>
      <protection/>
    </xf>
    <xf numFmtId="0" fontId="62" fillId="9" borderId="0" xfId="49" applyFont="1" applyFill="1" applyAlignment="1">
      <alignment horizontal="center" vertical="center" wrapText="1"/>
      <protection/>
    </xf>
    <xf numFmtId="0" fontId="62" fillId="9" borderId="2" xfId="49" applyFont="1" applyFill="1" applyBorder="1" applyAlignment="1">
      <alignment horizontal="center" vertical="center" wrapText="1"/>
      <protection/>
    </xf>
    <xf numFmtId="0" fontId="87" fillId="14" borderId="0" xfId="49" applyFont="1" applyFill="1" applyAlignment="1">
      <alignment horizontal="center"/>
      <protection/>
    </xf>
    <xf numFmtId="0" fontId="84" fillId="14" borderId="0" xfId="49" applyFont="1" applyFill="1" applyAlignment="1">
      <alignment horizontal="center" vertical="center"/>
      <protection/>
    </xf>
    <xf numFmtId="0" fontId="85" fillId="14" borderId="0" xfId="49" applyFont="1" applyFill="1" applyAlignment="1">
      <alignment horizontal="center" vertical="top" wrapText="1"/>
      <protection/>
    </xf>
    <xf numFmtId="0" fontId="82" fillId="11" borderId="0" xfId="49" applyFont="1" applyFill="1" applyAlignment="1">
      <alignment horizontal="center" vertical="center"/>
      <protection/>
    </xf>
    <xf numFmtId="49" fontId="81" fillId="6" borderId="0" xfId="49" applyNumberFormat="1" applyFont="1" applyFill="1" applyAlignment="1">
      <alignment horizontal="left" vertical="center" wrapText="1"/>
      <protection/>
    </xf>
    <xf numFmtId="49" fontId="80" fillId="6" borderId="0" xfId="49" applyNumberFormat="1" applyFont="1" applyFill="1" applyAlignment="1">
      <alignment horizontal="center" vertical="center" wrapText="1"/>
      <protection/>
    </xf>
    <xf numFmtId="49" fontId="80" fillId="6" borderId="0" xfId="49" applyNumberFormat="1" applyFont="1" applyFill="1" applyAlignment="1">
      <alignment horizontal="center" vertical="top" wrapText="1"/>
      <protection/>
    </xf>
    <xf numFmtId="0" fontId="25" fillId="6" borderId="30" xfId="49" applyFont="1" applyFill="1" applyBorder="1" applyAlignment="1" applyProtection="1">
      <alignment horizontal="center" vertical="center"/>
      <protection hidden="1"/>
    </xf>
    <xf numFmtId="0" fontId="12" fillId="0" borderId="30" xfId="49" applyFont="1" applyBorder="1" applyAlignment="1">
      <alignment horizontal="center" vertical="center" wrapText="1"/>
      <protection/>
    </xf>
    <xf numFmtId="0" fontId="0" fillId="0" borderId="101" xfId="49" applyBorder="1" applyAlignment="1">
      <alignment horizontal="left" vertical="center" wrapText="1"/>
      <protection/>
    </xf>
    <xf numFmtId="0" fontId="82" fillId="11" borderId="64" xfId="49" applyFont="1" applyFill="1" applyBorder="1" applyAlignment="1">
      <alignment horizontal="center" vertical="center"/>
      <protection/>
    </xf>
    <xf numFmtId="0" fontId="82" fillId="11" borderId="65" xfId="49" applyFont="1" applyFill="1" applyBorder="1" applyAlignment="1">
      <alignment horizontal="center" vertical="center"/>
      <protection/>
    </xf>
    <xf numFmtId="0" fontId="82" fillId="11" borderId="66" xfId="49" applyFont="1" applyFill="1" applyBorder="1" applyAlignment="1">
      <alignment horizontal="center" vertical="center"/>
      <protection/>
    </xf>
    <xf numFmtId="0" fontId="101" fillId="18" borderId="0" xfId="49" applyFont="1" applyFill="1" applyAlignment="1">
      <alignment horizontal="center" vertical="center" wrapText="1"/>
      <protection/>
    </xf>
    <xf numFmtId="0" fontId="84" fillId="14" borderId="0" xfId="49" applyFont="1" applyFill="1" applyAlignment="1">
      <alignment vertical="center"/>
      <protection/>
    </xf>
    <xf numFmtId="0" fontId="49" fillId="19" borderId="102" xfId="49" applyFont="1" applyFill="1" applyBorder="1" applyAlignment="1">
      <alignment horizontal="center" wrapText="1"/>
      <protection/>
    </xf>
    <xf numFmtId="0" fontId="49" fillId="19" borderId="103" xfId="49" applyFont="1" applyFill="1" applyBorder="1" applyAlignment="1">
      <alignment horizontal="center" wrapText="1"/>
      <protection/>
    </xf>
    <xf numFmtId="0" fontId="49" fillId="19" borderId="62" xfId="49" applyFont="1" applyFill="1" applyBorder="1" applyAlignment="1">
      <alignment horizontal="center" wrapText="1"/>
      <protection/>
    </xf>
    <xf numFmtId="0" fontId="80" fillId="6" borderId="104" xfId="49" applyFont="1" applyFill="1" applyBorder="1" applyAlignment="1" quotePrefix="1">
      <alignment horizontal="left" vertical="top" wrapText="1"/>
      <protection/>
    </xf>
    <xf numFmtId="0" fontId="80" fillId="6" borderId="67" xfId="49" applyFont="1" applyFill="1" applyBorder="1" applyAlignment="1">
      <alignment horizontal="left" vertical="top" wrapText="1"/>
      <protection/>
    </xf>
    <xf numFmtId="0" fontId="80" fillId="6" borderId="67" xfId="49" applyFont="1" applyFill="1" applyBorder="1" applyAlignment="1" quotePrefix="1">
      <alignment horizontal="left" vertical="top" wrapText="1"/>
      <protection/>
    </xf>
    <xf numFmtId="0" fontId="80" fillId="6" borderId="105" xfId="49" applyFont="1" applyFill="1" applyBorder="1" applyAlignment="1" quotePrefix="1">
      <alignment horizontal="left" vertical="top" wrapText="1"/>
      <protection/>
    </xf>
    <xf numFmtId="0" fontId="80" fillId="6" borderId="104" xfId="49" applyFont="1" applyFill="1" applyBorder="1" applyAlignment="1" applyProtection="1">
      <alignment horizontal="center" vertical="center" wrapText="1"/>
      <protection locked="0"/>
    </xf>
    <xf numFmtId="0" fontId="80" fillId="6" borderId="67" xfId="49" applyFont="1" applyFill="1" applyBorder="1" applyAlignment="1" applyProtection="1">
      <alignment horizontal="center" vertical="center" wrapText="1"/>
      <protection locked="0"/>
    </xf>
    <xf numFmtId="0" fontId="80" fillId="6" borderId="105" xfId="49" applyFont="1" applyFill="1" applyBorder="1" applyAlignment="1" applyProtection="1">
      <alignment horizontal="center" vertical="center" wrapText="1"/>
      <protection locked="0"/>
    </xf>
    <xf numFmtId="0" fontId="94" fillId="6" borderId="104" xfId="49" applyFont="1" applyFill="1" applyBorder="1" applyAlignment="1">
      <alignment horizontal="center" vertical="center" wrapText="1"/>
      <protection/>
    </xf>
    <xf numFmtId="0" fontId="94" fillId="6" borderId="67" xfId="49" applyFont="1" applyFill="1" applyBorder="1" applyAlignment="1">
      <alignment horizontal="center" vertical="center" wrapText="1"/>
      <protection/>
    </xf>
    <xf numFmtId="0" fontId="94" fillId="6" borderId="105" xfId="49" applyFont="1" applyFill="1" applyBorder="1" applyAlignment="1">
      <alignment horizontal="center" vertical="center" wrapText="1"/>
      <protection/>
    </xf>
    <xf numFmtId="0" fontId="0" fillId="0" borderId="101" xfId="49" applyBorder="1" applyAlignment="1">
      <alignment horizontal="center" vertical="center" wrapText="1"/>
      <protection/>
    </xf>
    <xf numFmtId="0" fontId="0" fillId="0" borderId="63" xfId="49" applyBorder="1" applyAlignment="1">
      <alignment horizontal="center" vertical="center" wrapText="1"/>
      <protection/>
    </xf>
    <xf numFmtId="0" fontId="0" fillId="0" borderId="60" xfId="49" applyBorder="1" applyAlignment="1">
      <alignment horizontal="center" vertical="center" wrapText="1"/>
      <protection/>
    </xf>
    <xf numFmtId="0" fontId="25" fillId="6" borderId="77" xfId="49" applyFont="1" applyFill="1" applyBorder="1" applyAlignment="1" applyProtection="1">
      <alignment horizontal="center" vertical="center"/>
      <protection hidden="1"/>
    </xf>
    <xf numFmtId="0" fontId="25" fillId="6" borderId="80" xfId="49" applyFont="1" applyFill="1" applyBorder="1" applyAlignment="1" applyProtection="1">
      <alignment horizontal="center" vertical="center"/>
      <protection hidden="1"/>
    </xf>
    <xf numFmtId="0" fontId="25" fillId="6" borderId="81" xfId="49" applyFont="1" applyFill="1" applyBorder="1" applyAlignment="1" applyProtection="1">
      <alignment horizontal="center" vertical="center"/>
      <protection hidden="1"/>
    </xf>
    <xf numFmtId="0" fontId="0" fillId="0" borderId="80" xfId="49" applyBorder="1" applyAlignment="1">
      <alignment horizontal="right"/>
      <protection/>
    </xf>
    <xf numFmtId="0" fontId="40" fillId="0" borderId="0" xfId="49" applyFont="1" applyAlignment="1">
      <alignment horizontal="center" vertical="center"/>
      <protection/>
    </xf>
    <xf numFmtId="0" fontId="41" fillId="10" borderId="0" xfId="49" applyFont="1" applyFill="1" applyAlignment="1">
      <alignment horizontal="right" vertical="center"/>
      <protection/>
    </xf>
    <xf numFmtId="0" fontId="0" fillId="0" borderId="0" xfId="49" applyAlignment="1">
      <alignment horizontal="right" vertical="center"/>
      <protection/>
    </xf>
    <xf numFmtId="0" fontId="0" fillId="0" borderId="2" xfId="49" applyBorder="1" applyAlignment="1">
      <alignment horizontal="right" vertical="center"/>
      <protection/>
    </xf>
    <xf numFmtId="0" fontId="21" fillId="9" borderId="0" xfId="49" applyFont="1" applyFill="1" applyAlignment="1">
      <alignment horizontal="center" vertical="center"/>
      <protection/>
    </xf>
    <xf numFmtId="49" fontId="7" fillId="3" borderId="0" xfId="49" applyNumberFormat="1" applyFont="1" applyFill="1" applyAlignment="1" applyProtection="1">
      <alignment horizontal="right"/>
      <protection hidden="1"/>
    </xf>
  </cellXfs>
  <cellStyles count="19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3" xfId="21"/>
    <cellStyle name="Currency 3 2" xfId="22"/>
    <cellStyle name="Currency 3 3" xfId="23"/>
    <cellStyle name="Currency 4" xfId="24"/>
    <cellStyle name="Currency 4 2" xfId="25"/>
    <cellStyle name="Currency 4 3" xfId="26"/>
    <cellStyle name="Currency 5" xfId="27"/>
    <cellStyle name="Currency 5 2" xfId="28"/>
    <cellStyle name="Currency 5 2 2" xfId="29"/>
    <cellStyle name="Currency 5 3" xfId="30"/>
    <cellStyle name="Hyperlink 2" xfId="31"/>
    <cellStyle name="Hyperlink 2 2" xfId="32"/>
    <cellStyle name="Hyperlink 3" xfId="33"/>
    <cellStyle name="Normal 2" xfId="34"/>
    <cellStyle name="Normal 3" xfId="35"/>
    <cellStyle name="Normal 3 2" xfId="36"/>
    <cellStyle name="Normal 4" xfId="37"/>
    <cellStyle name="Normal 4 2" xfId="38"/>
    <cellStyle name="Percent 2" xfId="39"/>
    <cellStyle name="Percent 2 2" xfId="40"/>
    <cellStyle name="Percent 2 3" xfId="41"/>
    <cellStyle name="Percent 3" xfId="42"/>
    <cellStyle name="Percent 3 2" xfId="43"/>
    <cellStyle name="Percent 3 3" xfId="44"/>
    <cellStyle name="Percent 4" xfId="45"/>
    <cellStyle name="Percent 4 2" xfId="46"/>
    <cellStyle name="Percent 4 2 2" xfId="47"/>
    <cellStyle name="Percent 4 3" xfId="48"/>
    <cellStyle name="Normal 2 2" xfId="49"/>
    <cellStyle name="Hyperlink" xfId="50"/>
    <cellStyle name="Comma 2" xfId="51"/>
    <cellStyle name="Currency 6" xfId="52"/>
    <cellStyle name="Currency 2 2" xfId="53"/>
    <cellStyle name="Currency 3 4" xfId="54"/>
    <cellStyle name="Currency 3 2 2" xfId="55"/>
    <cellStyle name="Currency 3 3 2" xfId="56"/>
    <cellStyle name="Currency 4 4" xfId="57"/>
    <cellStyle name="Currency 4 2 2" xfId="58"/>
    <cellStyle name="Currency 4 3 2" xfId="59"/>
    <cellStyle name="Currency 5 4" xfId="60"/>
    <cellStyle name="Currency 5 2 3" xfId="61"/>
    <cellStyle name="Currency 5 2 2 2" xfId="62"/>
    <cellStyle name="Currency 5 3 2" xfId="63"/>
    <cellStyle name="Normal 3 3" xfId="64"/>
    <cellStyle name="Normal 3 2 2" xfId="65"/>
    <cellStyle name="Normal 4 3" xfId="66"/>
    <cellStyle name="Normal 4 2 2" xfId="67"/>
    <cellStyle name="Percent 2 4" xfId="68"/>
    <cellStyle name="Percent 2 2 2" xfId="69"/>
    <cellStyle name="Percent 2 3 2" xfId="70"/>
    <cellStyle name="Percent 3 4" xfId="71"/>
    <cellStyle name="Percent 3 2 2" xfId="72"/>
    <cellStyle name="Percent 3 3 2" xfId="73"/>
    <cellStyle name="Percent 4 4" xfId="74"/>
    <cellStyle name="Percent 4 2 3" xfId="75"/>
    <cellStyle name="Percent 4 2 2 2" xfId="76"/>
    <cellStyle name="Percent 4 3 2" xfId="77"/>
    <cellStyle name="Percent 5" xfId="78"/>
    <cellStyle name="Normal 5" xfId="79"/>
    <cellStyle name="Normal 2 3" xfId="80"/>
    <cellStyle name="Comma 2 2" xfId="81"/>
    <cellStyle name="Bad" xfId="82"/>
    <cellStyle name="Currency 2 6" xfId="83"/>
    <cellStyle name="Currency 3 7" xfId="84"/>
    <cellStyle name="Currency 3 2 5" xfId="85"/>
    <cellStyle name="Currency 3 3 5" xfId="86"/>
    <cellStyle name="Currency 4 7" xfId="87"/>
    <cellStyle name="Currency 4 2 5" xfId="88"/>
    <cellStyle name="Currency 4 3 5" xfId="89"/>
    <cellStyle name="Currency 5 7" xfId="90"/>
    <cellStyle name="Currency 5 2 6" xfId="91"/>
    <cellStyle name="Currency 5 2 2 5" xfId="92"/>
    <cellStyle name="Currency 5 3 5" xfId="93"/>
    <cellStyle name="Normal 4 7" xfId="94"/>
    <cellStyle name="Normal 4 2 5" xfId="95"/>
    <cellStyle name="Comma 8" xfId="96"/>
    <cellStyle name="Currency 2 2 5" xfId="97"/>
    <cellStyle name="Hyperlink 3 2" xfId="98"/>
    <cellStyle name="Normal 3 3 5" xfId="99"/>
    <cellStyle name="Normal 4 3 5" xfId="100"/>
    <cellStyle name="Hyperlink 4" xfId="101"/>
    <cellStyle name="Hyperlink 5" xfId="102"/>
    <cellStyle name="Currency 7" xfId="103"/>
    <cellStyle name="Currency 6 4" xfId="104"/>
    <cellStyle name="Currency [0] 2" xfId="105"/>
    <cellStyle name="Comma 2 4" xfId="106"/>
    <cellStyle name="Comma [0] 2" xfId="107"/>
    <cellStyle name="Currency 2 3" xfId="108"/>
    <cellStyle name="Currency 3 4 4" xfId="109"/>
    <cellStyle name="Currency 3 2 2 4" xfId="110"/>
    <cellStyle name="Currency 3 3 2 4" xfId="111"/>
    <cellStyle name="Currency 4 4 4" xfId="112"/>
    <cellStyle name="Currency 4 2 2 4" xfId="113"/>
    <cellStyle name="Currency 4 3 2 4" xfId="114"/>
    <cellStyle name="Currency 5 4 4" xfId="115"/>
    <cellStyle name="Currency 5 2 3 4" xfId="116"/>
    <cellStyle name="Currency 5 2 2 2 4" xfId="117"/>
    <cellStyle name="Currency 5 3 2 4" xfId="118"/>
    <cellStyle name="Hyperlink 2 3" xfId="119"/>
    <cellStyle name="Hyperlink 2 2 2" xfId="120"/>
    <cellStyle name="Normal 3 4" xfId="121"/>
    <cellStyle name="Normal 4 4" xfId="122"/>
    <cellStyle name="Normal 4 2 2 4" xfId="123"/>
    <cellStyle name="Currency 2 2 2" xfId="124"/>
    <cellStyle name="Comma 3" xfId="125"/>
    <cellStyle name="Normal 3 3 2" xfId="126"/>
    <cellStyle name="Normal 4 3 2" xfId="127"/>
    <cellStyle name="Hyperlink 5 2" xfId="128"/>
    <cellStyle name="Currency 8" xfId="129"/>
    <cellStyle name="Currency 2 4" xfId="130"/>
    <cellStyle name="Currency 3 5" xfId="131"/>
    <cellStyle name="Currency 3 2 3" xfId="132"/>
    <cellStyle name="Currency 3 3 3" xfId="133"/>
    <cellStyle name="Currency 4 5" xfId="134"/>
    <cellStyle name="Currency 4 2 3" xfId="135"/>
    <cellStyle name="Currency 4 3 3" xfId="136"/>
    <cellStyle name="Currency 5 5" xfId="137"/>
    <cellStyle name="Currency 5 2 4" xfId="138"/>
    <cellStyle name="Currency 5 2 2 3" xfId="139"/>
    <cellStyle name="Currency 5 3 3" xfId="140"/>
    <cellStyle name="Normal 4 5" xfId="141"/>
    <cellStyle name="Normal 4 2 3" xfId="142"/>
    <cellStyle name="Comma 4" xfId="143"/>
    <cellStyle name="Currency 2 2 3" xfId="144"/>
    <cellStyle name="Normal 3 3 3" xfId="145"/>
    <cellStyle name="Normal 4 3 3" xfId="146"/>
    <cellStyle name="Currency 7 2" xfId="147"/>
    <cellStyle name="Currency 6 2" xfId="148"/>
    <cellStyle name="Currency [0] 2 2" xfId="149"/>
    <cellStyle name="Comma 2 2 2" xfId="150"/>
    <cellStyle name="Comma [0] 2 2" xfId="151"/>
    <cellStyle name="Currency 2 3 2" xfId="152"/>
    <cellStyle name="Currency 3 4 2" xfId="153"/>
    <cellStyle name="Currency 3 2 2 2" xfId="154"/>
    <cellStyle name="Currency 3 3 2 2" xfId="155"/>
    <cellStyle name="Currency 4 4 2" xfId="156"/>
    <cellStyle name="Currency 4 2 2 2" xfId="157"/>
    <cellStyle name="Currency 4 3 2 2" xfId="158"/>
    <cellStyle name="Currency 5 4 2" xfId="159"/>
    <cellStyle name="Currency 5 2 3 2" xfId="160"/>
    <cellStyle name="Currency 5 2 2 2 2" xfId="161"/>
    <cellStyle name="Currency 5 3 2 2" xfId="162"/>
    <cellStyle name="Normal 4 4 2" xfId="163"/>
    <cellStyle name="Normal 4 2 2 2" xfId="164"/>
    <cellStyle name="Currency 2 2 2 2" xfId="165"/>
    <cellStyle name="Comma 3 2" xfId="166"/>
    <cellStyle name="Normal 3 3 2 2" xfId="167"/>
    <cellStyle name="Normal 4 3 2 2" xfId="168"/>
    <cellStyle name="Currency 9" xfId="169"/>
    <cellStyle name="Currency 2 5" xfId="170"/>
    <cellStyle name="Currency 3 6" xfId="171"/>
    <cellStyle name="Currency 3 2 4" xfId="172"/>
    <cellStyle name="Currency 3 3 4" xfId="173"/>
    <cellStyle name="Currency 4 6" xfId="174"/>
    <cellStyle name="Currency 4 2 4" xfId="175"/>
    <cellStyle name="Currency 4 3 4" xfId="176"/>
    <cellStyle name="Currency 5 6" xfId="177"/>
    <cellStyle name="Currency 5 2 5" xfId="178"/>
    <cellStyle name="Currency 5 2 2 4" xfId="179"/>
    <cellStyle name="Currency 5 3 4" xfId="180"/>
    <cellStyle name="Currency 11" xfId="181"/>
    <cellStyle name="Normal 4 6" xfId="182"/>
    <cellStyle name="Normal 4 2 4" xfId="183"/>
    <cellStyle name="Currency 10" xfId="184"/>
    <cellStyle name="Comma 5" xfId="185"/>
    <cellStyle name="Currency 2 2 4" xfId="186"/>
    <cellStyle name="Normal 3 3 4" xfId="187"/>
    <cellStyle name="Normal 4 3 4" xfId="188"/>
    <cellStyle name="Currency 7 3" xfId="189"/>
    <cellStyle name="Currency 6 3" xfId="190"/>
    <cellStyle name="Currency [0] 2 3" xfId="191"/>
    <cellStyle name="Comma 2 3" xfId="192"/>
    <cellStyle name="Comma [0] 2 3" xfId="193"/>
    <cellStyle name="Currency 2 3 3" xfId="194"/>
    <cellStyle name="Currency 3 4 3" xfId="195"/>
    <cellStyle name="Currency 3 2 2 3" xfId="196"/>
    <cellStyle name="Currency 3 3 2 3" xfId="197"/>
    <cellStyle name="Currency 4 4 3" xfId="198"/>
    <cellStyle name="Currency 4 2 2 3" xfId="199"/>
    <cellStyle name="Currency 4 3 2 3" xfId="200"/>
    <cellStyle name="Currency 5 4 3" xfId="201"/>
    <cellStyle name="Currency 5 2 3 3" xfId="202"/>
    <cellStyle name="Currency 5 2 2 2 3" xfId="203"/>
    <cellStyle name="Currency 5 3 2 3" xfId="204"/>
    <cellStyle name="Normal 4 4 3" xfId="205"/>
    <cellStyle name="Normal 4 2 2 3" xfId="206"/>
    <cellStyle name="Currency 2 2 2 3" xfId="207"/>
    <cellStyle name="Comma 3 3" xfId="208"/>
    <cellStyle name="Normal 3 3 2 3" xfId="209"/>
    <cellStyle name="Normal 4 3 2 3" xfId="210"/>
    <cellStyle name="Comma 6" xfId="211"/>
    <cellStyle name="Comma 7" xfId="212"/>
  </cellStyles>
  <dxfs count="110">
    <dxf>
      <fill>
        <patternFill>
          <bgColor theme="7" tint="0.599960029125214"/>
        </patternFill>
      </fill>
    </dxf>
    <dxf>
      <fill>
        <patternFill>
          <bgColor rgb="FFFFFFCC"/>
        </patternFill>
      </fill>
    </dxf>
    <dxf>
      <fill>
        <patternFill>
          <bgColor theme="4" tint="0.799979984760284"/>
        </patternFill>
      </fill>
    </dxf>
    <dxf>
      <fill>
        <patternFill>
          <bgColor theme="9" tint="0.5999600291252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8" tint="0.799979984760284"/>
        </patternFill>
      </fill>
    </dxf>
    <dxf>
      <fill>
        <patternFill>
          <bgColor rgb="FFFFFFCC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ill>
        <patternFill>
          <bgColor rgb="FFFFFFCC"/>
        </patternFill>
      </fill>
    </dxf>
    <dxf>
      <fill>
        <patternFill>
          <bgColor theme="8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ont>
        <color theme="1"/>
      </font>
      <fill>
        <patternFill>
          <bgColor theme="8" tint="0.799979984760284"/>
        </patternFill>
      </fill>
    </dxf>
    <dxf>
      <font>
        <color theme="1"/>
      </font>
      <fill>
        <patternFill>
          <bgColor rgb="FFFF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C7CE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ont>
        <color theme="1"/>
      </font>
      <fill>
        <patternFill>
          <bgColor theme="8" tint="0.799979984760284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theme="7" tint="0.599960029125214"/>
        </patternFill>
      </fill>
    </dxf>
    <dxf>
      <fill>
        <patternFill>
          <bgColor rgb="FFFFFFCC"/>
        </patternFill>
      </fill>
    </dxf>
    <dxf>
      <fill>
        <patternFill>
          <bgColor theme="4" tint="0.799979984760284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rgb="FFFFFFCC"/>
        </patternFill>
      </fill>
    </dxf>
    <dxf>
      <fill>
        <patternFill>
          <bgColor theme="4" tint="0.799979984760284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ill>
        <patternFill>
          <bgColor rgb="FFFFFFCC"/>
        </patternFill>
      </fill>
    </dxf>
    <dxf>
      <font>
        <color auto="1"/>
      </font>
      <fill>
        <patternFill>
          <bgColor theme="8" tint="0.799979984760284"/>
        </patternFill>
      </fill>
    </dxf>
    <dxf>
      <font>
        <b/>
        <i val="0"/>
      </font>
      <fill>
        <patternFill>
          <bgColor theme="9" tint="-0.249939993023872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ill>
        <patternFill>
          <bgColor rgb="FFFFFFCC"/>
        </patternFill>
      </fill>
    </dxf>
    <dxf>
      <font>
        <color auto="1"/>
      </font>
      <fill>
        <patternFill>
          <bgColor theme="8" tint="0.799979984760284"/>
        </patternFill>
      </fill>
    </dxf>
    <dxf>
      <font>
        <color auto="1"/>
      </font>
      <fill>
        <patternFill>
          <bgColor theme="8" tint="0.799979984760284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8" tint="0.799979984760284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FF0000"/>
        </patternFill>
      </fill>
    </dxf>
    <dxf>
      <fill>
        <patternFill>
          <bgColor theme="7" tint="0.59996002912521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799979984760284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theme="9" tint="0.799979984760284"/>
        </patternFill>
      </fill>
    </dxf>
    <dxf>
      <fill>
        <patternFill>
          <bgColor rgb="FFFFFFCC"/>
        </patternFill>
      </fill>
    </dxf>
    <dxf>
      <fill>
        <patternFill>
          <bgColor theme="8" tint="0.799979984760284"/>
        </patternFill>
      </fill>
    </dxf>
    <dxf>
      <fill>
        <patternFill>
          <bgColor theme="7" tint="0.599960029125214"/>
        </patternFill>
      </fill>
    </dxf>
    <dxf>
      <fill>
        <patternFill>
          <bgColor theme="7" tint="0.599960029125214"/>
        </patternFill>
      </fill>
    </dxf>
    <dxf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79984760284"/>
        </patternFill>
      </fill>
    </dxf>
    <dxf>
      <font>
        <color auto="1"/>
      </font>
      <fill>
        <patternFill>
          <bgColor theme="8" tint="0.799979984760284"/>
        </patternFill>
      </fill>
    </dxf>
    <dxf>
      <fill>
        <patternFill>
          <bgColor theme="4" tint="0.59996002912521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worksheet" Target="worksheets/sheet15.xml" /><Relationship Id="rId14" Type="http://schemas.openxmlformats.org/officeDocument/2006/relationships/worksheet" Target="worksheets/sheet13.xml" /><Relationship Id="rId1" Type="http://schemas.openxmlformats.org/officeDocument/2006/relationships/theme" Target="theme/theme1.xml" /><Relationship Id="rId18" Type="http://schemas.openxmlformats.org/officeDocument/2006/relationships/sharedStrings" Target="sharedStrings.xml" /><Relationship Id="rId24" Type="http://schemas.openxmlformats.org/officeDocument/2006/relationships/externalLink" Target="externalLinks/externalLink3.xml" /><Relationship Id="rId5" Type="http://schemas.openxmlformats.org/officeDocument/2006/relationships/worksheet" Target="worksheets/sheet4.xml" /><Relationship Id="rId20" Type="http://schemas.openxmlformats.org/officeDocument/2006/relationships/customXml" Target="../customXml/item2.xml" /><Relationship Id="rId21" Type="http://schemas.openxmlformats.org/officeDocument/2006/relationships/customXml" Target="../customXml/item3.xml" /><Relationship Id="rId22" Type="http://schemas.openxmlformats.org/officeDocument/2006/relationships/externalLink" Target="externalLinks/externalLink1.xml" /><Relationship Id="rId23" Type="http://schemas.openxmlformats.org/officeDocument/2006/relationships/externalLink" Target="externalLinks/externalLink2.xml" /><Relationship Id="rId9" Type="http://schemas.openxmlformats.org/officeDocument/2006/relationships/worksheet" Target="worksheets/sheet8.xml" /><Relationship Id="rId17" Type="http://schemas.openxmlformats.org/officeDocument/2006/relationships/styles" Target="styles.xml" /><Relationship Id="rId19" Type="http://schemas.openxmlformats.org/officeDocument/2006/relationships/customXml" Target="../customXml/item1.xml" /><Relationship Id="rId6" Type="http://schemas.openxmlformats.org/officeDocument/2006/relationships/worksheet" Target="worksheets/sheet5.xml" /><Relationship Id="rId15" Type="http://schemas.openxmlformats.org/officeDocument/2006/relationships/worksheet" Target="worksheets/sheet14.xml" /><Relationship Id="rId2" Type="http://schemas.openxmlformats.org/officeDocument/2006/relationships/worksheet" Target="worksheets/sheet1.xml" /><Relationship Id="rId4" Type="http://schemas.openxmlformats.org/officeDocument/2006/relationships/worksheet" Target="worksheets/sheet3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fmlaLink="$C$122" lockText="1" noThreeD="1"/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Relationship Id="rId2" Type="http://schemas.openxmlformats.org/officeDocument/2006/relationships/image" Target="../media/image8.png" /><Relationship Id="rId3" Type="http://schemas.openxmlformats.org/officeDocument/2006/relationships/image" Target="../media/image6.png" 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1390650</xdr:colOff>
          <xdr:row>23</xdr:row>
          <xdr:rowOff>57150</xdr:rowOff>
        </xdr:from>
        <xdr:to>
          <xdr:col>3</xdr:col>
          <xdr:colOff>390525</xdr:colOff>
          <xdr:row>26</xdr:row>
          <xdr:rowOff>95250</xdr:rowOff>
        </xdr:to>
        <xdr:sp>
          <xdr:nvSpPr>
            <xdr:cNvPr id="48129" name="CheckBox 6" hidden="1">
              <a:extLst>
                <a:ext uri="{63B3BB69-23CF-44E3-9099-C40C66FF867C}">
                  <a14:compatExt spid="_x0000_s48129"/>
                </a:ext>
              </a:extLst>
            </xdr:cNvPr>
            <xdr:cNvSpPr>
              <a:spLocks noRot="1"/>
            </xdr:cNvSpPr>
          </xdr:nvSpPr>
          <xdr:spPr>
            <a:xfrm>
              <a:off x="4695825" y="3714750"/>
              <a:ext cx="457200" cy="476250"/>
            </a:xfrm>
            <a:prstGeom prst="rect"/>
            <a:noFill/>
            <a:ln w="9525" cmpd="sng">
              <a:noFill/>
            </a:ln>
          </xdr:spPr>
        </xdr:sp>
        <xdr:clientData fLocksWithSheet="0"/>
      </xdr:twoCellAnchor>
    </mc:Choice>
    <mc:Fallback/>
  </mc:AlternateContent>
  <xdr:twoCellAnchor editAs="oneCell">
    <xdr:from>
      <xdr:col>0</xdr:col>
      <xdr:colOff>98612</xdr:colOff>
      <xdr:row>0</xdr:row>
      <xdr:rowOff>0</xdr:rowOff>
    </xdr:from>
    <xdr:to>
      <xdr:col>1</xdr:col>
      <xdr:colOff>200025</xdr:colOff>
      <xdr:row>4</xdr:row>
      <xdr:rowOff>85725</xdr:rowOff>
    </xdr:to>
    <xdr:pic>
      <xdr:nvPicPr>
        <xdr:cNvPr id="6" name="Picture 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250" y="0"/>
          <a:ext cx="1562100" cy="695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0</xdr:col>
      <xdr:colOff>8890</xdr:colOff>
      <xdr:row>7</xdr:row>
      <xdr:rowOff>85432</xdr:rowOff>
    </xdr:from>
    <xdr:to>
      <xdr:col>1</xdr:col>
      <xdr:colOff>531709</xdr:colOff>
      <xdr:row>13</xdr:row>
      <xdr:rowOff>113204</xdr:rowOff>
    </xdr:to>
    <xdr:sp macro="">
      <xdr:nvSpPr>
        <xdr:cNvPr id="7" name="TextBox 6"/>
        <xdr:cNvSpPr txBox="1"/>
      </xdr:nvSpPr>
      <xdr:spPr>
        <a:xfrm>
          <a:off x="9525" y="1190625"/>
          <a:ext cx="1981200" cy="117157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NZ" sz="900" b="1" i="0"/>
            <a:t>Complete</a:t>
          </a:r>
          <a:r>
            <a:rPr lang="en-NZ" sz="900" b="1" i="0" baseline="0"/>
            <a:t> the following worksheets:</a:t>
          </a:r>
        </a:p>
        <a:p>
          <a:pPr algn="l"/>
          <a:r>
            <a:rPr lang="en-NZ" sz="900" i="0" baseline="0">
              <a:solidFill>
                <a:sysClr val="windowText" lastClr="000000"/>
              </a:solidFill>
              <a:sym typeface="Wingdings" panose="05000000000000000000" pitchFamily="2" charset="2"/>
            </a:rPr>
            <a:t>  </a:t>
          </a:r>
          <a:r>
            <a:rPr lang="en-NZ" sz="900" i="0" baseline="0">
              <a:solidFill>
                <a:sysClr val="windowText" lastClr="000000"/>
              </a:solidFill>
            </a:rPr>
            <a:t>Customer Details</a:t>
          </a:r>
        </a:p>
        <a:p>
          <a:pPr algn="l"/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NZ" sz="900" i="0" baseline="0">
              <a:solidFill>
                <a:sysClr val="windowText" lastClr="000000"/>
              </a:solidFill>
            </a:rPr>
            <a:t>Fleet Information</a:t>
          </a:r>
        </a:p>
        <a:p>
          <a:pPr algn="l"/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NZ" sz="900" i="0" baseline="0">
              <a:solidFill>
                <a:sysClr val="windowText" lastClr="000000"/>
              </a:solidFill>
            </a:rPr>
            <a:t>Billing &amp; Order Details</a:t>
          </a:r>
        </a:p>
        <a:p>
          <a:pPr algn="l"/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NZ" sz="900" i="0" baseline="0">
              <a:solidFill>
                <a:sysClr val="windowText" lastClr="000000"/>
              </a:solidFill>
            </a:rPr>
            <a:t>Additional Parts</a:t>
          </a:r>
        </a:p>
        <a:p>
          <a:pPr algn="l"/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9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NZ" sz="900" i="0" baseline="0">
              <a:solidFill>
                <a:sysClr val="windowText" lastClr="000000"/>
              </a:solidFill>
            </a:rPr>
            <a:t>Delivery &amp; Install Details</a:t>
          </a:r>
          <a:endParaRPr lang="en-NZ" sz="900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lvl="1" algn="l"/>
          <a:endParaRPr lang="en-NZ" sz="900" i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</xdr:col>
      <xdr:colOff>560916</xdr:colOff>
      <xdr:row>7</xdr:row>
      <xdr:rowOff>88623</xdr:rowOff>
    </xdr:from>
    <xdr:to>
      <xdr:col>2</xdr:col>
      <xdr:colOff>846667</xdr:colOff>
      <xdr:row>13</xdr:row>
      <xdr:rowOff>112461</xdr:rowOff>
    </xdr:to>
    <xdr:sp macro="">
      <xdr:nvSpPr>
        <xdr:cNvPr id="8" name="TextBox 7"/>
        <xdr:cNvSpPr txBox="1"/>
      </xdr:nvSpPr>
      <xdr:spPr>
        <a:xfrm>
          <a:off x="2019300" y="1190625"/>
          <a:ext cx="2133600" cy="117157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just"/>
          <a:r>
            <a:rPr lang="en-NZ" sz="85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Renewal &amp; Replacement Units</a:t>
          </a:r>
        </a:p>
        <a:p>
          <a:pPr algn="l"/>
          <a:r>
            <a:rPr lang="en-NZ" sz="8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 vehicle details in the Fleet Information tab, for Renewal &amp; Replacement units. Providing this information will ensure the customer is not billed twice for the same vehicle.  This information can be found in AVL &amp; Director under Unique ID &amp; Display Name.</a:t>
          </a:r>
          <a:endParaRPr lang="en-NZ" sz="85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883073</xdr:colOff>
      <xdr:row>7</xdr:row>
      <xdr:rowOff>76200</xdr:rowOff>
    </xdr:from>
    <xdr:to>
      <xdr:col>4</xdr:col>
      <xdr:colOff>77684</xdr:colOff>
      <xdr:row>13</xdr:row>
      <xdr:rowOff>104684</xdr:rowOff>
    </xdr:to>
    <xdr:sp macro="">
      <xdr:nvSpPr>
        <xdr:cNvPr id="9" name="TextBox 8"/>
        <xdr:cNvSpPr txBox="1"/>
      </xdr:nvSpPr>
      <xdr:spPr>
        <a:xfrm>
          <a:off x="4191000" y="1181100"/>
          <a:ext cx="2495550" cy="117157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NZ" sz="850" b="1" i="0" baseline="0"/>
            <a:t>Ensure:</a:t>
          </a:r>
        </a:p>
        <a:p>
          <a:pPr algn="l"/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NZ" sz="850" i="0" baseline="0"/>
            <a:t>Mandatory fields (</a:t>
          </a:r>
          <a:r>
            <a:rPr lang="en-NZ" sz="850" i="0" baseline="0">
              <a:solidFill>
                <a:srgbClr val="C00000"/>
              </a:solidFill>
            </a:rPr>
            <a:t>*</a:t>
          </a:r>
          <a:r>
            <a:rPr lang="en-NZ" sz="850" i="0" baseline="0"/>
            <a:t>) are completed</a:t>
          </a:r>
        </a:p>
        <a:p>
          <a:pPr algn="l"/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The applicable signed contract is submitted </a:t>
          </a:r>
        </a:p>
        <a:p>
          <a:pPr algn="l"/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 the Order form.</a:t>
          </a:r>
        </a:p>
        <a:p>
          <a:pPr algn="l"/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</a:t>
          </a:r>
          <a:r>
            <a:rPr lang="en-NZ" sz="85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For Urgent Order requests, enter "Urgent" in your email subject header to ensure prompt action. Urgent Processing fees will apply; refer to the Billing &amp; Order tab.</a:t>
          </a:r>
          <a:endParaRPr lang="en-NZ" sz="850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254000</xdr:colOff>
      <xdr:row>0</xdr:row>
      <xdr:rowOff>55563</xdr:rowOff>
    </xdr:from>
    <xdr:to>
      <xdr:col>1</xdr:col>
      <xdr:colOff>1055688</xdr:colOff>
      <xdr:row>1</xdr:row>
      <xdr:rowOff>484188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7175" y="57150"/>
          <a:ext cx="2466975" cy="971550"/>
        </a:xfrm>
        <a:prstGeom prst="rect"/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15</xdr:row>
          <xdr:rowOff>123825</xdr:rowOff>
        </xdr:from>
        <xdr:to>
          <xdr:col>3</xdr:col>
          <xdr:colOff>323850</xdr:colOff>
          <xdr:row>17</xdr:row>
          <xdr:rowOff>47625</xdr:rowOff>
        </xdr:to>
        <xdr:sp>
          <xdr:nvSpPr>
            <xdr:cNvPr id="59398" name="CheckBox 7" hidden="1">
              <a:extLst>
                <a:ext uri="{63B3BB69-23CF-44E3-9099-C40C66FF867C}">
                  <a14:compatExt spid="_x0000_s59398"/>
                </a:ext>
              </a:extLst>
            </xdr:cNvPr>
            <xdr:cNvSpPr>
              <a:spLocks noRot="1"/>
            </xdr:cNvSpPr>
          </xdr:nvSpPr>
          <xdr:spPr>
            <a:xfrm>
              <a:off x="2924175" y="2838450"/>
              <a:ext cx="228600" cy="247650"/>
            </a:xfrm>
            <a:prstGeom prst="rect"/>
            <a:noFill/>
            <a:ln w="9525" cmpd="sng">
              <a:noFill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24</xdr:row>
          <xdr:rowOff>123825</xdr:rowOff>
        </xdr:from>
        <xdr:to>
          <xdr:col>3</xdr:col>
          <xdr:colOff>333375</xdr:colOff>
          <xdr:row>26</xdr:row>
          <xdr:rowOff>47625</xdr:rowOff>
        </xdr:to>
        <xdr:sp>
          <xdr:nvSpPr>
            <xdr:cNvPr id="59399" name="CheckBox 8" hidden="1">
              <a:extLst>
                <a:ext uri="{63B3BB69-23CF-44E3-9099-C40C66FF867C}">
                  <a14:compatExt spid="_x0000_s59399"/>
                </a:ext>
              </a:extLst>
            </xdr:cNvPr>
            <xdr:cNvSpPr>
              <a:spLocks noRot="1"/>
            </xdr:cNvSpPr>
          </xdr:nvSpPr>
          <xdr:spPr>
            <a:xfrm>
              <a:off x="2933700" y="4305300"/>
              <a:ext cx="228600" cy="247650"/>
            </a:xfrm>
            <a:prstGeom prst="rect"/>
            <a:noFill/>
            <a:ln w="9525" cmpd="sng">
              <a:noFill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33</xdr:row>
          <xdr:rowOff>123825</xdr:rowOff>
        </xdr:from>
        <xdr:to>
          <xdr:col>3</xdr:col>
          <xdr:colOff>333375</xdr:colOff>
          <xdr:row>35</xdr:row>
          <xdr:rowOff>47625</xdr:rowOff>
        </xdr:to>
        <xdr:sp>
          <xdr:nvSpPr>
            <xdr:cNvPr id="59401" name="CheckBox 9" hidden="1">
              <a:extLst>
                <a:ext uri="{63B3BB69-23CF-44E3-9099-C40C66FF867C}">
                  <a14:compatExt spid="_x0000_s59401"/>
                </a:ext>
              </a:extLst>
            </xdr:cNvPr>
            <xdr:cNvSpPr>
              <a:spLocks noRot="1"/>
            </xdr:cNvSpPr>
          </xdr:nvSpPr>
          <xdr:spPr>
            <a:xfrm>
              <a:off x="2933700" y="5772150"/>
              <a:ext cx="228600" cy="247650"/>
            </a:xfrm>
            <a:prstGeom prst="rect"/>
            <a:noFill/>
            <a:ln w="9525" cmpd="sng">
              <a:noFill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42</xdr:row>
          <xdr:rowOff>123825</xdr:rowOff>
        </xdr:from>
        <xdr:to>
          <xdr:col>3</xdr:col>
          <xdr:colOff>333375</xdr:colOff>
          <xdr:row>44</xdr:row>
          <xdr:rowOff>47625</xdr:rowOff>
        </xdr:to>
        <xdr:sp>
          <xdr:nvSpPr>
            <xdr:cNvPr id="59402" name="CheckBox 10" hidden="1">
              <a:extLst>
                <a:ext uri="{63B3BB69-23CF-44E3-9099-C40C66FF867C}">
                  <a14:compatExt spid="_x0000_s59402"/>
                </a:ext>
              </a:extLst>
            </xdr:cNvPr>
            <xdr:cNvSpPr>
              <a:spLocks noRot="1"/>
            </xdr:cNvSpPr>
          </xdr:nvSpPr>
          <xdr:spPr>
            <a:xfrm>
              <a:off x="2933700" y="7239000"/>
              <a:ext cx="228600" cy="247650"/>
            </a:xfrm>
            <a:prstGeom prst="rect"/>
            <a:noFill/>
            <a:ln w="9525" cmpd="sng">
              <a:noFill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51</xdr:row>
          <xdr:rowOff>123825</xdr:rowOff>
        </xdr:from>
        <xdr:to>
          <xdr:col>3</xdr:col>
          <xdr:colOff>333375</xdr:colOff>
          <xdr:row>53</xdr:row>
          <xdr:rowOff>47625</xdr:rowOff>
        </xdr:to>
        <xdr:sp>
          <xdr:nvSpPr>
            <xdr:cNvPr id="59403" name="CheckBox 11" hidden="1">
              <a:extLst>
                <a:ext uri="{63B3BB69-23CF-44E3-9099-C40C66FF867C}">
                  <a14:compatExt spid="_x0000_s59403"/>
                </a:ext>
              </a:extLst>
            </xdr:cNvPr>
            <xdr:cNvSpPr>
              <a:spLocks noRot="1"/>
            </xdr:cNvSpPr>
          </xdr:nvSpPr>
          <xdr:spPr>
            <a:xfrm>
              <a:off x="2933700" y="8705850"/>
              <a:ext cx="228600" cy="247650"/>
            </a:xfrm>
            <a:prstGeom prst="rect"/>
            <a:noFill/>
            <a:ln w="9525" cmpd="sng">
              <a:noFill/>
            </a:ln>
          </xdr:spPr>
        </xdr:sp>
        <xdr:clientData/>
      </xdr:twoCellAnchor>
    </mc:Choice>
    <mc:Fallback/>
  </mc:AlternateContent>
  <xdr:twoCellAnchor editAs="oneCell">
    <xdr:from>
      <xdr:col>0</xdr:col>
      <xdr:colOff>84667</xdr:colOff>
      <xdr:row>0</xdr:row>
      <xdr:rowOff>76200</xdr:rowOff>
    </xdr:from>
    <xdr:to>
      <xdr:col>2</xdr:col>
      <xdr:colOff>62442</xdr:colOff>
      <xdr:row>5</xdr:row>
      <xdr:rowOff>25137</xdr:rowOff>
    </xdr:to>
    <xdr:pic>
      <xdr:nvPicPr>
        <xdr:cNvPr id="13" name="Picture 1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79" t="34025" r="16813" b="32908"/>
        <a:stretch>
          <a:fillRect/>
        </a:stretch>
      </xdr:blipFill>
      <xdr:spPr>
        <a:xfrm>
          <a:off x="85725" y="76200"/>
          <a:ext cx="1847850" cy="714375"/>
        </a:xfrm>
        <a:prstGeom prst="rect"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121</xdr:row>
          <xdr:rowOff>9525</xdr:rowOff>
        </xdr:from>
        <xdr:to>
          <xdr:col>1</xdr:col>
          <xdr:colOff>1771650</xdr:colOff>
          <xdr:row>122</xdr:row>
          <xdr:rowOff>0</xdr:rowOff>
        </xdr:to>
        <xdr:sp>
          <xdr:nvSpPr>
            <xdr:cNvPr id="43009" name="CheckBox 7" hidden="1">
              <a:extLst>
                <a:ext uri="{63B3BB69-23CF-44E3-9099-C40C66FF867C}">
                  <a14:compatExt spid="_x0000_s43009"/>
                </a:ext>
              </a:extLst>
            </xdr:cNvPr>
            <xdr:cNvSpPr>
              <a:spLocks noRot="1"/>
            </xdr:cNvSpPr>
          </xdr:nvSpPr>
          <xdr:spPr>
            <a:xfrm>
              <a:off x="2314575" y="19507200"/>
              <a:ext cx="504825" cy="142875"/>
            </a:xfrm>
            <a:prstGeom prst="rect"/>
            <a:noFill/>
            <a:ln w="9525" cmpd="sng">
              <a:noFill/>
            </a:ln>
          </xdr:spPr>
        </xdr:sp>
        <xdr:clientData fLocksWithSheet="0"/>
      </xdr:twoCellAnchor>
    </mc:Choice>
    <mc:Fallback/>
  </mc:AlternateContent>
  <xdr:twoCellAnchor editAs="absolute">
    <xdr:from>
      <xdr:col>0</xdr:col>
      <xdr:colOff>16361</xdr:colOff>
      <xdr:row>11</xdr:row>
      <xdr:rowOff>49081</xdr:rowOff>
    </xdr:from>
    <xdr:to>
      <xdr:col>1</xdr:col>
      <xdr:colOff>2195681</xdr:colOff>
      <xdr:row>18</xdr:row>
      <xdr:rowOff>129793</xdr:rowOff>
    </xdr:to>
    <xdr:sp macro="">
      <xdr:nvSpPr>
        <xdr:cNvPr id="5" name="TextBox 4"/>
        <xdr:cNvSpPr txBox="1"/>
      </xdr:nvSpPr>
      <xdr:spPr>
        <a:xfrm>
          <a:off x="19050" y="1114425"/>
          <a:ext cx="3228975" cy="140970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just"/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Billing &amp; Order</a:t>
          </a:r>
          <a:r>
            <a:rPr lang="en-NZ" sz="9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Terms &amp; Conditions</a:t>
          </a:r>
        </a:p>
        <a:p>
          <a:pPr algn="just"/>
          <a:endParaRPr lang="en-NZ" sz="9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Freight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additional and is charged at $20.00 ex. GST for up to 6 units.</a:t>
          </a:r>
        </a:p>
        <a:p>
          <a:pPr algn="just"/>
          <a:endParaRPr lang="en-NZ" sz="9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Urgent orders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incurring the urgent order fee, will be shipped within 48 hours of receiving all the correct documents. Standard lead time for all other orders is 3-5 days.</a:t>
          </a:r>
        </a:p>
        <a:p>
          <a:pPr algn="just"/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2278380</xdr:colOff>
      <xdr:row>11</xdr:row>
      <xdr:rowOff>60960</xdr:rowOff>
    </xdr:from>
    <xdr:to>
      <xdr:col>2</xdr:col>
      <xdr:colOff>1973580</xdr:colOff>
      <xdr:row>18</xdr:row>
      <xdr:rowOff>137159</xdr:rowOff>
    </xdr:to>
    <xdr:sp macro="">
      <xdr:nvSpPr>
        <xdr:cNvPr id="6" name="TextBox 5"/>
        <xdr:cNvSpPr txBox="1"/>
      </xdr:nvSpPr>
      <xdr:spPr>
        <a:xfrm>
          <a:off x="3324225" y="1123950"/>
          <a:ext cx="3152775" cy="140970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just"/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Return of New Saleable</a:t>
          </a:r>
          <a:r>
            <a:rPr lang="en-NZ" sz="9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Stock</a:t>
          </a:r>
          <a:endParaRPr lang="en-NZ" sz="9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product has been purchased and the Customer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changes 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their their mind, then the Dealer can return the stock as long as it has not been installed and it is ‘as new’ saleable condition. </a:t>
          </a:r>
        </a:p>
        <a:p>
          <a:pPr algn="just"/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Reallocation &amp; Transfer</a:t>
          </a:r>
        </a:p>
        <a:p>
          <a:pPr algn="just"/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Movement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units between different Customer accounts will incur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administration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fee of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$75.00 per unit.</a:t>
          </a:r>
        </a:p>
        <a:p>
          <a:pPr algn="just"/>
          <a:endParaRPr lang="en-NZ" sz="9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3</xdr:col>
      <xdr:colOff>0</xdr:colOff>
      <xdr:row>11</xdr:row>
      <xdr:rowOff>53340</xdr:rowOff>
    </xdr:from>
    <xdr:to>
      <xdr:col>5</xdr:col>
      <xdr:colOff>1043940</xdr:colOff>
      <xdr:row>18</xdr:row>
      <xdr:rowOff>129539</xdr:rowOff>
    </xdr:to>
    <xdr:sp macro="">
      <xdr:nvSpPr>
        <xdr:cNvPr id="7" name="TextBox 6"/>
        <xdr:cNvSpPr txBox="1"/>
      </xdr:nvSpPr>
      <xdr:spPr>
        <a:xfrm>
          <a:off x="6534150" y="1123950"/>
          <a:ext cx="3162300" cy="140970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NZ" sz="9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Dealer Demo Units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Limit of 2 demo units per dealer applies.  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Service Fee of $5.00 per unit, per month will apply.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Demo unit pricing must be approved by an authorised Teletrac Navman Representative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Special or discounted pricing must be approved by the Teletrac Navman Director of Sales.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 turnaround does not apply to delivery of demo units and units at special</a:t>
          </a:r>
          <a:r>
            <a:rPr lang="en-NZ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discounted pricing.</a:t>
          </a:r>
          <a:endParaRPr lang="en-AU" sz="900">
            <a:effectLst/>
          </a:endParaRPr>
        </a:p>
        <a:p>
          <a:pPr algn="just"/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76200</xdr:colOff>
      <xdr:row>4</xdr:row>
      <xdr:rowOff>45720</xdr:rowOff>
    </xdr:from>
    <xdr:to>
      <xdr:col>1</xdr:col>
      <xdr:colOff>883210</xdr:colOff>
      <xdr:row>9</xdr:row>
      <xdr:rowOff>10695</xdr:rowOff>
    </xdr:to>
    <xdr:pic>
      <xdr:nvPicPr>
        <xdr:cNvPr id="8" name="Picture 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79" t="34025" r="16813" b="32908"/>
        <a:stretch>
          <a:fillRect/>
        </a:stretch>
      </xdr:blipFill>
      <xdr:spPr>
        <a:xfrm>
          <a:off x="76200" y="47625"/>
          <a:ext cx="1857375" cy="723900"/>
        </a:xfrm>
        <a:prstGeom prst="rect"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74084</xdr:colOff>
      <xdr:row>0</xdr:row>
      <xdr:rowOff>47625</xdr:rowOff>
    </xdr:from>
    <xdr:to>
      <xdr:col>1</xdr:col>
      <xdr:colOff>1778001</xdr:colOff>
      <xdr:row>1</xdr:row>
      <xdr:rowOff>258234</xdr:rowOff>
    </xdr:to>
    <xdr:pic>
      <xdr:nvPicPr>
        <xdr:cNvPr id="3" name="Picture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3350" y="47625"/>
          <a:ext cx="1704975" cy="647700"/>
        </a:xfrm>
        <a:prstGeom prst="rect"/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absolute">
    <xdr:from>
      <xdr:col>0</xdr:col>
      <xdr:colOff>47625</xdr:colOff>
      <xdr:row>11</xdr:row>
      <xdr:rowOff>48258</xdr:rowOff>
    </xdr:from>
    <xdr:to>
      <xdr:col>1</xdr:col>
      <xdr:colOff>1771650</xdr:colOff>
      <xdr:row>19</xdr:row>
      <xdr:rowOff>0</xdr:rowOff>
    </xdr:to>
    <xdr:sp macro="">
      <xdr:nvSpPr>
        <xdr:cNvPr id="9" name="TextBox 8"/>
        <xdr:cNvSpPr txBox="1"/>
      </xdr:nvSpPr>
      <xdr:spPr>
        <a:xfrm>
          <a:off x="47625" y="1114425"/>
          <a:ext cx="3048000" cy="147637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just"/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Billing &amp; Order</a:t>
          </a:r>
          <a:r>
            <a:rPr lang="en-NZ" sz="9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Terms &amp; Conditions</a:t>
          </a:r>
        </a:p>
        <a:p>
          <a:pPr algn="just"/>
          <a:endParaRPr lang="en-NZ" sz="9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Freight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additional and is charged at $20.00 ex. GST for up to 6 units.</a:t>
          </a:r>
        </a:p>
        <a:p>
          <a:pPr algn="just"/>
          <a:endParaRPr lang="en-NZ" sz="9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Urgent orders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incurring the urgent order fee, will be shipped within 48 hours of receiving all the correct documents. Standard lead time for all other orders is 3-5 days.</a:t>
          </a:r>
        </a:p>
        <a:p>
          <a:pPr algn="just"/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2233612</xdr:colOff>
      <xdr:row>11</xdr:row>
      <xdr:rowOff>56964</xdr:rowOff>
    </xdr:from>
    <xdr:to>
      <xdr:col>2</xdr:col>
      <xdr:colOff>1547812</xdr:colOff>
      <xdr:row>19</xdr:row>
      <xdr:rowOff>0</xdr:rowOff>
    </xdr:to>
    <xdr:sp macro="">
      <xdr:nvSpPr>
        <xdr:cNvPr id="10" name="TextBox 9"/>
        <xdr:cNvSpPr txBox="1"/>
      </xdr:nvSpPr>
      <xdr:spPr>
        <a:xfrm>
          <a:off x="3552825" y="1123950"/>
          <a:ext cx="2943225" cy="146685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just"/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Return of New Saleable</a:t>
          </a:r>
          <a:r>
            <a:rPr lang="en-NZ" sz="9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Stock</a:t>
          </a:r>
          <a:endParaRPr lang="en-NZ" sz="9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product has been purchased and the Customer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changes 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their their mind, then the Dealer can return the stock as long as it has not been installed and it is ‘as new’ saleable condition. </a:t>
          </a:r>
        </a:p>
        <a:p>
          <a:pPr algn="just"/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Z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Reallocation &amp; Transfer</a:t>
          </a:r>
        </a:p>
        <a:p>
          <a:pPr algn="just"/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Movement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units between different Customer accounts will incur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administration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fee of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$75.00 per unit.</a:t>
          </a:r>
        </a:p>
        <a:p>
          <a:pPr algn="just"/>
          <a:endParaRPr lang="en-NZ" sz="9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2009774</xdr:colOff>
      <xdr:row>11</xdr:row>
      <xdr:rowOff>89666</xdr:rowOff>
    </xdr:from>
    <xdr:to>
      <xdr:col>3</xdr:col>
      <xdr:colOff>1872749</xdr:colOff>
      <xdr:row>31</xdr:row>
      <xdr:rowOff>41666</xdr:rowOff>
    </xdr:to>
    <xdr:sp macro="">
      <xdr:nvSpPr>
        <xdr:cNvPr id="11" name="TextBox 10"/>
        <xdr:cNvSpPr txBox="1"/>
      </xdr:nvSpPr>
      <xdr:spPr>
        <a:xfrm>
          <a:off x="6962775" y="1152525"/>
          <a:ext cx="3495675" cy="147637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NZ" sz="9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Dealer Demo Units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Limit of 2 demo units per dealer applies.  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 Service Fee of $5.00 per unit, per month will apply.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Demo unit pricing must be approved by an authorised Teletrac Navman Representative.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Special or discounted pricing must be approved by the Teletrac Navman Director of Sales.</a:t>
          </a:r>
          <a:endParaRPr lang="en-AU" sz="900">
            <a:effectLst/>
          </a:endParaRPr>
        </a:p>
        <a:p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 turnaround does not apply to delivery of demo units and units at special</a:t>
          </a:r>
          <a:r>
            <a:rPr lang="en-NZ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NZ" sz="9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discounted pricing.</a:t>
          </a:r>
          <a:endParaRPr lang="en-AU" sz="900">
            <a:effectLst/>
          </a:endParaRPr>
        </a:p>
        <a:p>
          <a:pPr algn="just"/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219075</xdr:colOff>
      <xdr:row>0</xdr:row>
      <xdr:rowOff>0</xdr:rowOff>
    </xdr:from>
    <xdr:to>
      <xdr:col>1</xdr:col>
      <xdr:colOff>599017</xdr:colOff>
      <xdr:row>8</xdr:row>
      <xdr:rowOff>40217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075" y="0"/>
          <a:ext cx="1704975" cy="647700"/>
        </a:xfrm>
        <a:prstGeom prst="rect"/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3</xdr:col>
      <xdr:colOff>45914</xdr:colOff>
      <xdr:row>21</xdr:row>
      <xdr:rowOff>69904</xdr:rowOff>
    </xdr:from>
    <xdr:to>
      <xdr:col>8</xdr:col>
      <xdr:colOff>26865</xdr:colOff>
      <xdr:row>31</xdr:row>
      <xdr:rowOff>0</xdr:rowOff>
    </xdr:to>
    <xdr:sp macro="">
      <xdr:nvSpPr>
        <xdr:cNvPr id="2" name="TextBox 1"/>
        <xdr:cNvSpPr txBox="1"/>
      </xdr:nvSpPr>
      <xdr:spPr>
        <a:xfrm>
          <a:off x="4619625" y="4048125"/>
          <a:ext cx="5514975" cy="164782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NZ" sz="1100" b="1" u="none"/>
            <a:t>Note:</a:t>
          </a:r>
          <a:r>
            <a:rPr lang="en-NZ" sz="10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NZ" sz="10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</a:t>
          </a: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Delivery Address is not specified, goods will be sent to the Dealership Address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Teletrac Navman is organising installation:</a:t>
          </a:r>
        </a:p>
        <a:p>
          <a:pPr marL="0" indent="0">
            <a:buFontTx/>
            <a:buNone/>
          </a:pPr>
          <a:r>
            <a:rPr lang="en-NZ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&gt; Installation Cost will be applied for dealer orders.</a:t>
          </a:r>
          <a:endParaRPr lang="en-NZ" sz="105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&gt; Delivery arrangements will be coordinated by Teletrac Navman.</a:t>
          </a: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&gt; Contact information and the site address or area for installation must be specified in </a:t>
          </a: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the Delivery Address section above.</a:t>
          </a:r>
        </a:p>
      </xdr:txBody>
    </xdr:sp>
    <xdr:clientData/>
  </xdr:twoCellAnchor>
  <xdr:twoCellAnchor editAs="oneCell">
    <xdr:from>
      <xdr:col>0</xdr:col>
      <xdr:colOff>306916</xdr:colOff>
      <xdr:row>0</xdr:row>
      <xdr:rowOff>42334</xdr:rowOff>
    </xdr:from>
    <xdr:to>
      <xdr:col>1</xdr:col>
      <xdr:colOff>867833</xdr:colOff>
      <xdr:row>4</xdr:row>
      <xdr:rowOff>63501</xdr:rowOff>
    </xdr:to>
    <xdr:pic>
      <xdr:nvPicPr>
        <xdr:cNvPr id="4" name="Picture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04800" y="38100"/>
          <a:ext cx="1704975" cy="647700"/>
        </a:xfrm>
        <a:prstGeom prst="rect"/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23</xdr:row>
      <xdr:rowOff>106539</xdr:rowOff>
    </xdr:from>
    <xdr:to>
      <xdr:col>0</xdr:col>
      <xdr:colOff>0</xdr:colOff>
      <xdr:row>30</xdr:row>
      <xdr:rowOff>133067</xdr:rowOff>
    </xdr:to>
    <xdr:sp macro="">
      <xdr:nvSpPr>
        <xdr:cNvPr id="2" name="TextBox 1"/>
        <xdr:cNvSpPr txBox="1"/>
      </xdr:nvSpPr>
      <xdr:spPr>
        <a:xfrm>
          <a:off x="0" y="4819650"/>
          <a:ext cx="0" cy="1495425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NZ" sz="1100" b="1" u="none"/>
            <a:t>Note:</a:t>
          </a:r>
          <a:r>
            <a:rPr lang="en-NZ" sz="10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NZ" sz="10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</a:t>
          </a: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Delivery Address is not specified, goods will be sent to the Dealership Address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Teletrac Navman is organising installation:</a:t>
          </a:r>
        </a:p>
        <a:p>
          <a:pPr marL="0" indent="0">
            <a:buFontTx/>
            <a:buNone/>
          </a:pPr>
          <a:r>
            <a:rPr lang="en-NZ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&gt; Installation Cost will be applied for dealer orders.</a:t>
          </a:r>
          <a:endParaRPr lang="en-NZ" sz="105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&gt; Delivery arrangements will be coordinated by Teletrac Navman.</a:t>
          </a: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&gt; Contact information and the site address or area for installation must be specified in </a:t>
          </a:r>
        </a:p>
        <a:p>
          <a:pPr marL="0" indent="0">
            <a:buFontTx/>
            <a:buNone/>
          </a:pPr>
          <a:r>
            <a:rPr lang="en-NZ" sz="10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the Delivery Address section above.</a:t>
          </a:r>
        </a:p>
      </xdr:txBody>
    </xdr:sp>
    <xdr:clientData/>
  </xdr:twoCellAnchor>
  <xdr:twoCellAnchor editAs="oneCell">
    <xdr:from>
      <xdr:col>0</xdr:col>
      <xdr:colOff>84415</xdr:colOff>
      <xdr:row>0</xdr:row>
      <xdr:rowOff>133443</xdr:rowOff>
    </xdr:from>
    <xdr:to>
      <xdr:col>0</xdr:col>
      <xdr:colOff>1788332</xdr:colOff>
      <xdr:row>5</xdr:row>
      <xdr:rowOff>5523</xdr:rowOff>
    </xdr:to>
    <xdr:pic>
      <xdr:nvPicPr>
        <xdr:cNvPr id="3" name="Picture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5725" y="133350"/>
          <a:ext cx="1704975" cy="657225"/>
        </a:xfrm>
        <a:prstGeom prst="rect"/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180975</xdr:colOff>
      <xdr:row>0</xdr:row>
      <xdr:rowOff>66676</xdr:rowOff>
    </xdr:from>
    <xdr:to>
      <xdr:col>1</xdr:col>
      <xdr:colOff>447675</xdr:colOff>
      <xdr:row>4</xdr:row>
      <xdr:rowOff>9526</xdr:rowOff>
    </xdr:to>
    <xdr:pic>
      <xdr:nvPicPr>
        <xdr:cNvPr id="4" name="Picture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80975" y="66675"/>
          <a:ext cx="1685925" cy="552450"/>
        </a:xfrm>
        <a:prstGeom prst="rect"/>
        <a:solidFill>
          <a:schemeClr val="bg1"/>
        </a:solidFill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104775</xdr:colOff>
      <xdr:row>7</xdr:row>
      <xdr:rowOff>85725</xdr:rowOff>
    </xdr:from>
    <xdr:to>
      <xdr:col>4</xdr:col>
      <xdr:colOff>1257300</xdr:colOff>
      <xdr:row>12</xdr:row>
      <xdr:rowOff>228600</xdr:rowOff>
    </xdr:to>
    <xdr:sp macro="">
      <xdr:nvSpPr>
        <xdr:cNvPr id="2" name="TextBox 1"/>
        <xdr:cNvSpPr txBox="1"/>
      </xdr:nvSpPr>
      <xdr:spPr>
        <a:xfrm>
          <a:off x="104775" y="1419225"/>
          <a:ext cx="6467475" cy="133350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Provide names and email addresses for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all users requiring Teletrac Navman </a:t>
          </a:r>
          <a:r>
            <a:rPr lang="en-NZ" sz="9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DIRECTOR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access.</a:t>
          </a:r>
        </a:p>
        <a:p>
          <a:pPr algn="l"/>
          <a:endParaRPr lang="en-NZ" sz="9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 is important to for each user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within a company to have their own unique login, as access can be customised to the needs of the individual user.</a:t>
          </a:r>
        </a:p>
        <a:p>
          <a:pPr algn="l"/>
          <a:endParaRPr lang="en-NZ" sz="9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</a:t>
          </a:r>
          <a:r>
            <a:rPr lang="en-NZ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shared company emails are not permitted - each user must have a unique login.</a:t>
          </a:r>
          <a:endParaRPr lang="en-NZ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Ensure Mandatory fields (</a:t>
          </a:r>
          <a:r>
            <a:rPr lang="en-NZ" sz="900" b="0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NZ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are completed</a:t>
          </a:r>
        </a:p>
        <a:p>
          <a:pPr algn="l"/>
          <a:endParaRPr lang="en-NZ" sz="900" i="0" baseline="0"/>
        </a:p>
      </xdr:txBody>
    </xdr:sp>
    <xdr:clientData/>
  </xdr:twoCellAnchor>
  <xdr:twoCellAnchor editAs="oneCell">
    <xdr:from>
      <xdr:col>0</xdr:col>
      <xdr:colOff>200025</xdr:colOff>
      <xdr:row>0</xdr:row>
      <xdr:rowOff>142876</xdr:rowOff>
    </xdr:from>
    <xdr:to>
      <xdr:col>1</xdr:col>
      <xdr:colOff>0</xdr:colOff>
      <xdr:row>3</xdr:row>
      <xdr:rowOff>161926</xdr:rowOff>
    </xdr:to>
    <xdr:pic>
      <xdr:nvPicPr>
        <xdr:cNvPr id="4" name="Picture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00025" y="142875"/>
          <a:ext cx="1543050" cy="590550"/>
        </a:xfrm>
        <a:prstGeom prst="rect"/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1</xdr:col>
      <xdr:colOff>38100</xdr:colOff>
      <xdr:row>0</xdr:row>
      <xdr:rowOff>123825</xdr:rowOff>
    </xdr:from>
    <xdr:ext cx="1524000" cy="781050"/>
    <xdr:pic>
      <xdr:nvPicPr>
        <xdr:cNvPr id="2" name="Picture 1" descr="Teletrac Navman Granted Reciprocal Authority to Operate, Allowing ...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100" y="123825"/>
          <a:ext cx="1524000" cy="7810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1</xdr:col>
      <xdr:colOff>57150</xdr:colOff>
      <xdr:row>5</xdr:row>
      <xdr:rowOff>95250</xdr:rowOff>
    </xdr:from>
    <xdr:ext cx="561975" cy="600075"/>
    <xdr:pic>
      <xdr:nvPicPr>
        <xdr:cNvPr id="2" name="Picture 1" descr="Pretrip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7150" y="1743075"/>
          <a:ext cx="561975" cy="6000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209550</xdr:colOff>
      <xdr:row>0</xdr:row>
      <xdr:rowOff>57150</xdr:rowOff>
    </xdr:from>
    <xdr:ext cx="1695450" cy="1000125"/>
    <xdr:pic>
      <xdr:nvPicPr>
        <xdr:cNvPr id="3" name="Picture 2" descr="Teletrac Navman Granted Reciprocal Authority to Operate, Allowing ...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09550" y="57150"/>
          <a:ext cx="1695450" cy="10001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57150</xdr:colOff>
      <xdr:row>5</xdr:row>
      <xdr:rowOff>95250</xdr:rowOff>
    </xdr:from>
    <xdr:ext cx="561975" cy="600075"/>
    <xdr:pic>
      <xdr:nvPicPr>
        <xdr:cNvPr id="4" name="Picture 3" descr="Pretrip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7150" y="1743075"/>
          <a:ext cx="561975" cy="6000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95250</xdr:colOff>
      <xdr:row>5</xdr:row>
      <xdr:rowOff>57150</xdr:rowOff>
    </xdr:from>
    <xdr:ext cx="571500" cy="609600"/>
    <xdr:pic>
      <xdr:nvPicPr>
        <xdr:cNvPr id="5" name="Picture 4"/>
        <xdr:cNvPicPr>
          <a:picLocks noChangeAspect="1"/>
        </xdr:cNvPicPr>
      </xdr:nvPicPr>
      <xdr:blipFill>
        <a:blip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>
                      <a14:foregroundMark x1="72464" y1="80000" x2="72464" y2="80000"/>
                      <a14:foregroundMark x1="68116" y1="61333" x2="68116" y2="61333"/>
                      <a14:foregroundMark x1="27536" y1="89333" x2="27536" y2="89333"/>
                      <a14:foregroundMark x1="71014" y1="89333" x2="71014" y2="89333"/>
                      <a14:foregroundMark x1="40580" y1="10667" x2="40580" y2="10667"/>
                      <a14:backgroundMark x1="86957" y1="10667" x2="86957" y2="10667"/>
                      <a14:backgroundMark x1="71014" y1="73333" x2="71014" y2="73333"/>
                      <a14:backgroundMark x1="57971" y1="68000" x2="57971" y2="68000"/>
                      <a14:backgroundMark x1="57971" y1="68000" x2="57971" y2="68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611350" y="1704975"/>
          <a:ext cx="571500" cy="6096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9525</xdr:rowOff>
    </xdr:from>
    <xdr:ext cx="2667000" cy="952500"/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9525"/>
          <a:ext cx="2667000" cy="952500"/>
        </a:xfrm>
        <a:prstGeom prst="rect"/>
        <a:noFill/>
        <a:ln>
          <a:noFill/>
        </a:ln>
      </xdr:spPr>
    </xdr:pic>
    <xdr:clientData/>
  </xdr:oneCellAnchor>
  <xdr:twoCellAnchor>
    <xdr:from>
      <xdr:col>2</xdr:col>
      <xdr:colOff>171036</xdr:colOff>
      <xdr:row>0</xdr:row>
      <xdr:rowOff>157644</xdr:rowOff>
    </xdr:from>
    <xdr:to>
      <xdr:col>4</xdr:col>
      <xdr:colOff>1123949</xdr:colOff>
      <xdr:row>1</xdr:row>
      <xdr:rowOff>409574</xdr:rowOff>
    </xdr:to>
    <xdr:sp macro="">
      <xdr:nvSpPr>
        <xdr:cNvPr id="3" name="TextBox 2"/>
        <xdr:cNvSpPr txBox="1"/>
      </xdr:nvSpPr>
      <xdr:spPr>
        <a:xfrm>
          <a:off x="2781300" y="161925"/>
          <a:ext cx="3162300" cy="781050"/>
        </a:xfrm>
        <a:prstGeom prst="rect"/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Vehicle</a:t>
          </a:r>
          <a:r>
            <a:rPr lang="en-NZ" sz="8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Information is required to ensure:</a:t>
          </a:r>
          <a:r>
            <a:rPr lang="en-NZ" sz="850"/>
            <a:t> </a:t>
          </a:r>
        </a:p>
        <a:p>
          <a:pPr marL="171450" indent="-171450" algn="l">
            <a:buFont typeface="Wingdings" panose="05000000000000000000" pitchFamily="2" charset="2"/>
            <a:buChar char="§"/>
          </a:pP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Accurate information is used to set up vehicle properties and fleet</a:t>
          </a:r>
          <a:r>
            <a:rPr lang="en-NZ" sz="8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</a:t>
          </a:r>
          <a:r>
            <a:rPr lang="en-NZ" sz="85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Teletrac Navman </a:t>
          </a:r>
          <a:endParaRPr lang="en-NZ" sz="850"/>
        </a:p>
        <a:p>
          <a:pPr marL="171450" indent="-171450" algn="l">
            <a:buFont typeface="Wingdings" panose="05000000000000000000" pitchFamily="2" charset="2"/>
            <a:buChar char="§"/>
          </a:pP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Units are matched and installed into the correct vehicles </a:t>
          </a:r>
          <a:r>
            <a:rPr lang="en-NZ" sz="850"/>
            <a:t> </a:t>
          </a:r>
        </a:p>
        <a:p>
          <a:pPr marL="171450" indent="-171450" algn="l">
            <a:buFont typeface="Wingdings" panose="05000000000000000000" pitchFamily="2" charset="2"/>
            <a:buChar char="§"/>
          </a:pP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Ensure Mandatory fields (</a:t>
          </a:r>
          <a:r>
            <a:rPr lang="en-NZ" sz="850" b="0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NZ" sz="8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are completed</a:t>
          </a:r>
        </a:p>
        <a:p>
          <a:pPr algn="l"/>
          <a:endParaRPr lang="en-NZ" sz="850" i="0" baseline="0"/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\Users\choops\AppData\Local\Temp\Navman%20Wireless%20RENTAL%20E-Order_September%202013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\Users\choops\AppData\Local\Temp\Navman%20Wireless%20RENTAL%20E-Order_August%202013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K:\Local%20Office%20Shares\Sydney\Sydney-Shared\Sales%20Admin\E-Order%20&amp;%20CSA%20Templates\Natasha%20to%20upload\TeletracNavman%20-%20RENTAL%20E-Order%20Form_SEP%202017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ustomer Details"/>
      <sheetName val="Fleet Information"/>
      <sheetName val="Customer Login Details"/>
      <sheetName val="Billing &amp; Order Details"/>
      <sheetName val="Additional Parts"/>
      <sheetName val="Delivery &amp; Install Details "/>
      <sheetName val="Rentals &amp; Sat Comm Agrmnt"/>
      <sheetName val="Industry Code"/>
      <sheetName val="Picklist"/>
    </sheetNames>
    <sheetDataSet>
      <sheetData sheetId="0"/>
      <sheetData sheetId="1"/>
      <sheetData sheetId="2"/>
      <sheetData sheetId="3">
        <row r="108">
          <cell r="B108" t="str">
            <v>Yes</v>
          </cell>
        </row>
        <row r="109">
          <cell r="B109" t="str">
            <v>No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ustomer Details"/>
      <sheetName val="Fleet Information"/>
      <sheetName val="Customer Login Details"/>
      <sheetName val="Billing &amp; Order Details"/>
      <sheetName val="Additional Parts"/>
      <sheetName val="Delivery &amp; Install Details "/>
      <sheetName val="Rentals &amp; Sat Comm Agrmnt"/>
      <sheetName val="Industry Code"/>
      <sheetName val="Picklist"/>
    </sheetNames>
    <sheetDataSet>
      <sheetData sheetId="0" refreshError="1"/>
      <sheetData sheetId="1" refreshError="1"/>
      <sheetData sheetId="2" refreshError="1"/>
      <sheetData sheetId="3">
        <row r="108">
          <cell r="B108" t="str">
            <v>Yes</v>
          </cell>
        </row>
        <row r="109">
          <cell r="B109" t="str">
            <v>No</v>
          </cell>
        </row>
      </sheetData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>0000 Service</v>
          </cell>
        </row>
        <row r="3">
          <cell r="A3" t="str">
            <v>0001 Plumbing</v>
          </cell>
        </row>
        <row r="4">
          <cell r="A4" t="str">
            <v>0002 Towing</v>
          </cell>
        </row>
        <row r="5">
          <cell r="A5" t="str">
            <v>0003 Landscaping</v>
          </cell>
        </row>
        <row r="6">
          <cell r="A6" t="str">
            <v>0004 Pest Control</v>
          </cell>
        </row>
        <row r="7">
          <cell r="A7" t="str">
            <v>0005 Electrical</v>
          </cell>
        </row>
        <row r="8">
          <cell r="A8" t="str">
            <v>0006 Finance, Insurance</v>
          </cell>
        </row>
        <row r="9">
          <cell r="A9" t="str">
            <v>0007 Rental, Real Estate</v>
          </cell>
        </row>
        <row r="10">
          <cell r="A10" t="str">
            <v>0008 Professional, Technical</v>
          </cell>
        </row>
        <row r="11">
          <cell r="A11" t="str">
            <v>0009 Administration, Support</v>
          </cell>
        </row>
        <row r="12">
          <cell r="A12" t="str">
            <v>0010 Arts, Recreation</v>
          </cell>
        </row>
        <row r="13">
          <cell r="A13" t="str">
            <v>0011 Health, Medical, Social Services, Charities</v>
          </cell>
        </row>
        <row r="14">
          <cell r="A14" t="str">
            <v>0012 HVAC - Heating, Ventilation &amp; AC</v>
          </cell>
        </row>
        <row r="15">
          <cell r="A15" t="str">
            <v>0013 Home Improvement</v>
          </cell>
        </row>
        <row r="16">
          <cell r="A16" t="str">
            <v>0014 Building Maintenance</v>
          </cell>
        </row>
        <row r="17">
          <cell r="A17" t="str">
            <v>0015 Restoration Service</v>
          </cell>
        </row>
        <row r="18">
          <cell r="A18" t="str">
            <v>0016 Auto Body Repair</v>
          </cell>
        </row>
        <row r="19">
          <cell r="A19" t="str">
            <v>0017 Agriculture, Forestry, Fishing</v>
          </cell>
        </row>
        <row r="20">
          <cell r="A20" t="str">
            <v>0018 Corporate Sales Fleet</v>
          </cell>
        </row>
        <row r="21">
          <cell r="A21" t="str">
            <v>0019 Delivery (same day and overnight)</v>
          </cell>
        </row>
        <row r="22">
          <cell r="A22" t="str">
            <v>0020 Limousine</v>
          </cell>
        </row>
        <row r="23">
          <cell r="A23" t="str">
            <v>0021 Taxis</v>
          </cell>
        </row>
        <row r="24">
          <cell r="A24" t="str">
            <v>0100 Education</v>
          </cell>
        </row>
        <row r="25">
          <cell r="A25" t="str">
            <v>0101 School Bus Municipal</v>
          </cell>
        </row>
        <row r="26">
          <cell r="A26" t="str">
            <v>0102 School Bus Private</v>
          </cell>
        </row>
        <row r="27">
          <cell r="A27" t="str">
            <v>0200 Construction</v>
          </cell>
        </row>
        <row r="28">
          <cell r="A28" t="str">
            <v>0201 Aggregate</v>
          </cell>
        </row>
        <row r="29">
          <cell r="A29" t="str">
            <v>0202 Building Construction</v>
          </cell>
        </row>
        <row r="30">
          <cell r="A30" t="str">
            <v>0203 Construction Services</v>
          </cell>
        </row>
        <row r="31">
          <cell r="A31" t="str">
            <v>0204 Equipment Rental</v>
          </cell>
        </row>
        <row r="32">
          <cell r="A32" t="str">
            <v>0205 Excavating</v>
          </cell>
        </row>
        <row r="33">
          <cell r="A33" t="str">
            <v>0206 Grading</v>
          </cell>
        </row>
        <row r="34">
          <cell r="A34" t="str">
            <v>0207 Heavy and Civil Engineering</v>
          </cell>
        </row>
        <row r="35">
          <cell r="A35" t="str">
            <v>0208 Heavy Highway</v>
          </cell>
        </row>
        <row r="36">
          <cell r="A36" t="str">
            <v>0209 Lift/Crane</v>
          </cell>
        </row>
        <row r="37">
          <cell r="A37" t="str">
            <v>0210 Paving</v>
          </cell>
        </row>
        <row r="38">
          <cell r="A38" t="str">
            <v>0211 Ready Mix (cement)</v>
          </cell>
        </row>
        <row r="39">
          <cell r="A39" t="str">
            <v>0300 Mining</v>
          </cell>
        </row>
        <row r="40">
          <cell r="A40" t="str">
            <v>0301 Coal</v>
          </cell>
        </row>
        <row r="41">
          <cell r="A41" t="str">
            <v>0302 Exploration, Mining Support Services</v>
          </cell>
        </row>
        <row r="42">
          <cell r="A42" t="str">
            <v>0303 Metal Ore</v>
          </cell>
        </row>
        <row r="43">
          <cell r="A43" t="str">
            <v>0304 Non-Metallic Mineral Mining &amp; Quarrying</v>
          </cell>
        </row>
        <row r="44">
          <cell r="A44" t="str">
            <v>0305 Oil, Gas</v>
          </cell>
        </row>
        <row r="45">
          <cell r="A45" t="str">
            <v>0400 Cold Chain</v>
          </cell>
        </row>
        <row r="46">
          <cell r="A46" t="str">
            <v>0500 Transport</v>
          </cell>
        </row>
        <row r="47">
          <cell r="A47" t="str">
            <v>0501 Air, Space</v>
          </cell>
        </row>
        <row r="48">
          <cell r="A48" t="str">
            <v>0502 Postal, Courier</v>
          </cell>
        </row>
        <row r="49">
          <cell r="A49" t="str">
            <v>0503 Rail</v>
          </cell>
        </row>
        <row r="50">
          <cell r="A50" t="str">
            <v>0504 Road</v>
          </cell>
        </row>
        <row r="51">
          <cell r="A51" t="str">
            <v>0505 Shuttle, Bus</v>
          </cell>
        </row>
        <row r="52">
          <cell r="A52" t="str">
            <v>0506 Transport Support Services</v>
          </cell>
        </row>
        <row r="53">
          <cell r="A53" t="str">
            <v>0507 Warehousing, Storage</v>
          </cell>
        </row>
        <row r="54">
          <cell r="A54" t="str">
            <v>0508 Water</v>
          </cell>
        </row>
        <row r="55">
          <cell r="A55" t="str">
            <v>0600 Government</v>
          </cell>
        </row>
        <row r="56">
          <cell r="A56" t="str">
            <v>0601 National</v>
          </cell>
        </row>
        <row r="57">
          <cell r="A57" t="str">
            <v>0602 Province, State</v>
          </cell>
        </row>
        <row r="58">
          <cell r="A58" t="str">
            <v>0603 Municipal</v>
          </cell>
        </row>
        <row r="59">
          <cell r="A59" t="str">
            <v>0604 City</v>
          </cell>
        </row>
        <row r="60">
          <cell r="A60" t="str">
            <v>0700 Public Safety</v>
          </cell>
        </row>
        <row r="61">
          <cell r="A61" t="str">
            <v>0701 Ambulance</v>
          </cell>
        </row>
        <row r="62">
          <cell r="A62" t="str">
            <v>0702 Police</v>
          </cell>
        </row>
        <row r="63">
          <cell r="A63" t="str">
            <v>0703 Fire</v>
          </cell>
        </row>
        <row r="64">
          <cell r="A64" t="str">
            <v>0704 Regulatory Services</v>
          </cell>
        </row>
        <row r="65">
          <cell r="A65" t="str">
            <v>0800 Security</v>
          </cell>
        </row>
        <row r="66">
          <cell r="A66" t="str">
            <v>0900 Energy</v>
          </cell>
        </row>
        <row r="67">
          <cell r="A67" t="str">
            <v>0901 Utility, Electricity, Gas</v>
          </cell>
        </row>
        <row r="68">
          <cell r="A68" t="str">
            <v>0903 Water Supply, Sewerage, Drainage</v>
          </cell>
        </row>
        <row r="69">
          <cell r="A69" t="str">
            <v>0904 Pipeline</v>
          </cell>
        </row>
        <row r="70">
          <cell r="A70" t="str">
            <v>1000 Manufacturing</v>
          </cell>
        </row>
        <row r="71">
          <cell r="A71" t="str">
            <v>1001 Beverage</v>
          </cell>
        </row>
        <row r="72">
          <cell r="A72" t="str">
            <v>1002 Fabricated Metal Product</v>
          </cell>
        </row>
        <row r="73">
          <cell r="A73" t="str">
            <v>1003 Food Product</v>
          </cell>
        </row>
        <row r="74">
          <cell r="A74" t="str">
            <v>1004 Furniture</v>
          </cell>
        </row>
        <row r="75">
          <cell r="A75" t="str">
            <v>1005 Machinery and Equipment</v>
          </cell>
        </row>
        <row r="76">
          <cell r="A76" t="str">
            <v>1006 Petroleum and Coal Product</v>
          </cell>
        </row>
        <row r="77">
          <cell r="A77" t="str">
            <v>1007 Primary Metal and Metal Product</v>
          </cell>
        </row>
        <row r="78">
          <cell r="A78" t="str">
            <v>1008 Printing</v>
          </cell>
        </row>
        <row r="79">
          <cell r="A79" t="str">
            <v>1009 Pulp, Paper and Converted Paper Product</v>
          </cell>
        </row>
        <row r="80">
          <cell r="A80" t="str">
            <v>1010 Transport Equipment</v>
          </cell>
        </row>
        <row r="81">
          <cell r="A81" t="str">
            <v>1011 Wood Product</v>
          </cell>
        </row>
        <row r="82">
          <cell r="A82" t="str">
            <v>1100 Info Media Telecom</v>
          </cell>
        </row>
        <row r="83">
          <cell r="A83" t="str">
            <v>1101 Telecommunications Services</v>
          </cell>
        </row>
        <row r="84">
          <cell r="A84" t="str">
            <v>1102 ISP, Web Search Portals, Data Processing</v>
          </cell>
        </row>
        <row r="85">
          <cell r="A85" t="str">
            <v>1103 Library, Other Information Services</v>
          </cell>
        </row>
        <row r="86">
          <cell r="A86" t="str">
            <v>1200 Trade</v>
          </cell>
        </row>
        <row r="87">
          <cell r="A87" t="str">
            <v>1201 Retail</v>
          </cell>
        </row>
        <row r="88">
          <cell r="A88" t="str">
            <v>1202 Wholesale</v>
          </cell>
        </row>
        <row r="89">
          <cell r="A89" t="str">
            <v>1300 Distribution</v>
          </cell>
        </row>
        <row r="90">
          <cell r="A90" t="str">
            <v>1400 Waste/Recycle Management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eneral"/>
      <sheetName val="Fleet Information"/>
      <sheetName val="Customer Login Details"/>
      <sheetName val="Billing &amp; Order"/>
      <sheetName val="Additional Parts"/>
      <sheetName val="Delivery &amp; Install Details "/>
      <sheetName val="Industry Code"/>
      <sheetName val="Pick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trlProp" Target="../ctrlProps/ctrlProp1.xml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trlProp" Target="../ctrlProps/ctrlProp2.xml" /><Relationship Id="rId2" Type="http://schemas.openxmlformats.org/officeDocument/2006/relationships/ctrlProp" Target="../ctrlProps/ctrlProp3.xml" /><Relationship Id="rId3" Type="http://schemas.openxmlformats.org/officeDocument/2006/relationships/ctrlProp" Target="../ctrlProps/ctrlProp4.xml" /><Relationship Id="rId4" Type="http://schemas.openxmlformats.org/officeDocument/2006/relationships/ctrlProp" Target="../ctrlProps/ctrlProp5.xml" /><Relationship Id="rId5" Type="http://schemas.openxmlformats.org/officeDocument/2006/relationships/ctrlProp" Target="../ctrlProps/ctrlProp6.xml" /><Relationship Id="rId6" Type="http://schemas.openxmlformats.org/officeDocument/2006/relationships/drawing" Target="../drawings/drawing3.xml" /><Relationship Id="rId7" Type="http://schemas.openxmlformats.org/officeDocument/2006/relationships/vmlDrawing" Target="../drawings/vmlDrawing2.vml" /><Relationship Id="rId8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comments" Target="../comments4.xml" /><Relationship Id="rId2" Type="http://schemas.openxmlformats.org/officeDocument/2006/relationships/ctrlProp" Target="../ctrlProps/ctrlProp7.xml" /><Relationship Id="rId3" Type="http://schemas.openxmlformats.org/officeDocument/2006/relationships/drawing" Target="../drawings/drawing4.xml" /><Relationship Id="rId4" Type="http://schemas.openxmlformats.org/officeDocument/2006/relationships/vmlDrawing" Target="../drawings/vmlDrawing3.vml" /><Relationship Id="rId5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 /><Relationship Id="rId2" Type="http://schemas.openxmlformats.org/officeDocument/2006/relationships/printerSettings" Target="../printerSettings/printerSettings7.bin" /><Relationship Id="rId3" Type="http://schemas.openxmlformats.org/officeDocument/2006/relationships/printerSettings" Target="../printerSettings/printerSettings8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 /><Relationship Id="rId2" Type="http://schemas.openxmlformats.org/officeDocument/2006/relationships/printerSettings" Target="../printerSettings/printerSettings9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 /><Relationship Id="rId2" Type="http://schemas.openxmlformats.org/officeDocument/2006/relationships/printerSettings" Target="../printerSettings/printerSettings10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 /><Relationship Id="rId2" Type="http://schemas.openxmlformats.org/officeDocument/2006/relationships/printerSettings" Target="../printerSettings/printerSettings11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hyperlink" Target="mailto:jane.doe@teletracnavman.com" TargetMode="External" /><Relationship Id="rId2" Type="http://schemas.openxmlformats.org/officeDocument/2006/relationships/comments" Target="../comments13.xml" /><Relationship Id="rId3" Type="http://schemas.openxmlformats.org/officeDocument/2006/relationships/drawing" Target="../drawings/drawing11.xml" /><Relationship Id="rId4" Type="http://schemas.openxmlformats.org/officeDocument/2006/relationships/vmlDrawing" Target="../drawings/vmlDrawing4.vml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00B050"/>
  </sheetPr>
  <dimension ref="A1:G68"/>
  <sheetViews>
    <sheetView workbookViewId="0" topLeftCell="A34">
      <selection pane="topLeft" activeCell="B17" sqref="B17"/>
    </sheetView>
  </sheetViews>
  <sheetFormatPr defaultColWidth="9.140625" defaultRowHeight="15"/>
  <cols>
    <col min="1" max="1" width="21.8571428571429" style="4" customWidth="1"/>
    <col min="2" max="2" width="27.7142857142857" style="4" customWidth="1"/>
    <col min="3" max="3" width="21.8571428571429" style="4" customWidth="1"/>
    <col min="4" max="4" width="27.7142857142857" style="4" customWidth="1"/>
    <col min="5" max="5" width="1.28571428571429" style="4" customWidth="1"/>
    <col min="6" max="7" width="9.14285714285714" style="43"/>
    <col min="8" max="16384" width="9.14285714285714" style="4"/>
  </cols>
  <sheetData>
    <row r="1" spans="1:5" ht="12" customHeight="1">
      <c r="A1" s="234"/>
      <c r="B1" s="234"/>
      <c r="C1" s="498" t="e">
        <f>IF(#REF!="NextGen","NextGen eOrder","Director eOrder")</f>
        <v>#REF!</v>
      </c>
      <c r="D1" s="498"/>
      <c r="E1" s="498"/>
    </row>
    <row r="2" spans="1:5" ht="12" customHeight="1">
      <c r="A2" s="234"/>
      <c r="B2" s="234"/>
      <c r="C2" s="498"/>
      <c r="D2" s="498"/>
      <c r="E2" s="498"/>
    </row>
    <row r="3" spans="1:5" ht="12" customHeight="1">
      <c r="A3" s="234"/>
      <c r="B3" s="234"/>
      <c r="C3" s="498"/>
      <c r="D3" s="498"/>
      <c r="E3" s="498"/>
    </row>
    <row r="4" spans="1:5" ht="12" customHeight="1">
      <c r="A4" s="30"/>
      <c r="B4" s="31"/>
      <c r="C4" s="502" t="s">
        <v>162</v>
      </c>
      <c r="D4" s="502"/>
      <c r="E4" s="502"/>
    </row>
    <row r="5" spans="1:5" ht="12" customHeight="1">
      <c r="A5" s="30"/>
      <c r="B5" s="31"/>
      <c r="C5" s="503"/>
      <c r="D5" s="503"/>
      <c r="E5" s="503"/>
    </row>
    <row r="6" spans="1:7" s="5" customFormat="1" ht="12" customHeight="1">
      <c r="A6" s="504" t="s">
        <v>182</v>
      </c>
      <c r="B6" s="504"/>
      <c r="C6" s="504"/>
      <c r="D6" s="504"/>
      <c r="E6" s="504"/>
      <c r="F6" s="39"/>
      <c r="G6" s="39"/>
    </row>
    <row r="7" spans="1:7" s="5" customFormat="1" ht="15">
      <c r="A7" s="505"/>
      <c r="B7" s="505"/>
      <c r="C7" s="505"/>
      <c r="D7" s="505"/>
      <c r="E7" s="505"/>
      <c r="F7" s="39"/>
      <c r="G7" s="39"/>
    </row>
    <row r="8" spans="1:5" s="39" customFormat="1" ht="15.6" customHeight="1">
      <c r="A8" s="42"/>
      <c r="B8" s="42"/>
      <c r="C8" s="42"/>
      <c r="D8" s="42"/>
      <c r="E8" s="42"/>
    </row>
    <row r="9" spans="1:5" s="39" customFormat="1" ht="15.6" customHeight="1">
      <c r="A9" s="42"/>
      <c r="B9" s="42"/>
      <c r="C9" s="42"/>
      <c r="D9" s="42"/>
      <c r="E9" s="42"/>
    </row>
    <row r="10" spans="1:5" s="39" customFormat="1" ht="15.6" customHeight="1">
      <c r="A10" s="42"/>
      <c r="B10" s="42"/>
      <c r="C10" s="42"/>
      <c r="D10" s="42"/>
      <c r="E10" s="42"/>
    </row>
    <row r="11" spans="1:5" s="39" customFormat="1" ht="15.6" customHeight="1">
      <c r="A11" s="42"/>
      <c r="B11" s="42"/>
      <c r="C11" s="42"/>
      <c r="D11" s="42"/>
      <c r="E11" s="42"/>
    </row>
    <row r="12" spans="1:5" s="39" customFormat="1" ht="15.6" customHeight="1">
      <c r="A12" s="42"/>
      <c r="B12" s="42"/>
      <c r="C12" s="42"/>
      <c r="D12" s="42"/>
      <c r="E12" s="42"/>
    </row>
    <row r="13" spans="1:5" s="39" customFormat="1" ht="15.6" customHeight="1">
      <c r="A13" s="42"/>
      <c r="B13" s="42"/>
      <c r="C13" s="42"/>
      <c r="D13" s="42"/>
      <c r="E13" s="42"/>
    </row>
    <row r="14" spans="1:5" s="39" customFormat="1" ht="15.6" customHeight="1">
      <c r="A14" s="42"/>
      <c r="B14" s="42"/>
      <c r="C14" s="42"/>
      <c r="D14" s="42"/>
      <c r="E14" s="42"/>
    </row>
    <row r="15" spans="1:5" ht="21" customHeight="1">
      <c r="A15" s="220" t="s">
        <v>155</v>
      </c>
      <c r="B15" s="74"/>
      <c r="C15" s="74"/>
      <c r="D15" s="74"/>
      <c r="E15" s="75"/>
    </row>
    <row r="16" spans="1:5" ht="3.6" customHeight="1">
      <c r="A16" s="102"/>
      <c r="B16" s="77"/>
      <c r="C16" s="77"/>
      <c r="D16" s="77"/>
      <c r="E16" s="76"/>
    </row>
    <row r="17" spans="1:5" ht="21" customHeight="1">
      <c r="A17" s="62" t="s">
        <v>183</v>
      </c>
      <c r="B17" s="93"/>
      <c r="C17" s="28" t="s">
        <v>80</v>
      </c>
      <c r="D17" s="227"/>
      <c r="E17" s="76"/>
    </row>
    <row r="18" spans="1:5" ht="3.6" customHeight="1">
      <c r="A18" s="62"/>
      <c r="B18" s="226"/>
      <c r="C18" s="28"/>
      <c r="D18" s="226"/>
      <c r="E18" s="76"/>
    </row>
    <row r="19" spans="1:5" ht="21" customHeight="1">
      <c r="A19" s="62" t="s">
        <v>176</v>
      </c>
      <c r="B19" s="93"/>
      <c r="C19" s="28" t="s">
        <v>81</v>
      </c>
      <c r="D19" s="230"/>
      <c r="E19" s="76"/>
    </row>
    <row r="20" spans="1:5" ht="3.6" customHeight="1">
      <c r="A20" s="62"/>
      <c r="B20" s="226"/>
      <c r="C20" s="28"/>
      <c r="D20" s="24"/>
      <c r="E20" s="76"/>
    </row>
    <row r="21" spans="1:5" ht="21" customHeight="1">
      <c r="A21" s="62" t="s">
        <v>82</v>
      </c>
      <c r="B21" s="229"/>
      <c r="C21" s="28"/>
      <c r="D21" s="28"/>
      <c r="E21" s="76"/>
    </row>
    <row r="22" spans="1:5" ht="3.6" customHeight="1">
      <c r="A22" s="103"/>
      <c r="B22" s="78"/>
      <c r="C22" s="79"/>
      <c r="D22" s="79"/>
      <c r="E22" s="80"/>
    </row>
    <row r="23" spans="1:5" ht="3.6" customHeight="1" hidden="1">
      <c r="A23" s="22"/>
      <c r="B23" s="249"/>
      <c r="C23" s="77"/>
      <c r="D23" s="77"/>
      <c r="E23" s="77"/>
    </row>
    <row r="24" spans="1:5" ht="6.95" customHeight="1">
      <c r="A24" s="81"/>
      <c r="B24" s="81"/>
      <c r="C24" s="81"/>
      <c r="D24" s="81"/>
      <c r="E24" s="81"/>
    </row>
    <row r="25" spans="1:5" ht="6.95" customHeight="1">
      <c r="A25" s="97"/>
      <c r="B25" s="74"/>
      <c r="C25" s="74"/>
      <c r="D25" s="74"/>
      <c r="E25" s="75"/>
    </row>
    <row r="26" spans="1:5" ht="21" customHeight="1">
      <c r="A26" s="60" t="s">
        <v>83</v>
      </c>
      <c r="B26" s="82"/>
      <c r="C26" s="82"/>
      <c r="D26" s="83" t="s">
        <v>215</v>
      </c>
      <c r="E26" s="76"/>
    </row>
    <row r="27" spans="1:5" ht="21" customHeight="1">
      <c r="A27" s="62" t="s">
        <v>166</v>
      </c>
      <c r="B27" s="93"/>
      <c r="C27" s="28" t="s">
        <v>167</v>
      </c>
      <c r="D27" s="93"/>
      <c r="E27" s="76"/>
    </row>
    <row r="28" spans="1:5" ht="3.6" customHeight="1">
      <c r="A28" s="62"/>
      <c r="B28" s="226"/>
      <c r="C28" s="28"/>
      <c r="D28" s="226"/>
      <c r="E28" s="76"/>
    </row>
    <row r="29" spans="1:5" ht="21" customHeight="1">
      <c r="A29" s="62" t="s">
        <v>168</v>
      </c>
      <c r="B29" s="93"/>
      <c r="C29" s="28" t="s">
        <v>169</v>
      </c>
      <c r="D29" s="93" t="s">
        <v>219</v>
      </c>
      <c r="E29" s="76"/>
    </row>
    <row r="30" spans="1:5" ht="3.6" customHeight="1">
      <c r="A30" s="62"/>
      <c r="B30" s="226"/>
      <c r="C30" s="500" t="s">
        <v>84</v>
      </c>
      <c r="D30" s="226"/>
      <c r="E30" s="76"/>
    </row>
    <row r="31" spans="1:5" ht="21" customHeight="1">
      <c r="A31" s="62" t="s">
        <v>47</v>
      </c>
      <c r="B31" s="23" t="s">
        <v>24</v>
      </c>
      <c r="C31" s="500"/>
      <c r="D31" s="227"/>
      <c r="E31" s="76"/>
    </row>
    <row r="32" spans="1:5" ht="3.6" customHeight="1">
      <c r="A32" s="62"/>
      <c r="B32" s="45"/>
      <c r="C32" s="500"/>
      <c r="D32" s="22"/>
      <c r="E32" s="76"/>
    </row>
    <row r="33" spans="1:5" ht="21" customHeight="1">
      <c r="A33" s="62" t="s">
        <v>85</v>
      </c>
      <c r="B33" s="261" t="str">
        <f>IF(B31="Yes","Enter SAP Customer ID here (if known)","")</f>
        <v/>
      </c>
      <c r="C33" s="62" t="s">
        <v>170</v>
      </c>
      <c r="D33" s="93"/>
      <c r="E33" s="76"/>
    </row>
    <row r="34" spans="1:5" ht="3.6" customHeight="1">
      <c r="A34" s="62"/>
      <c r="B34" s="226"/>
      <c r="C34" s="28"/>
      <c r="D34" s="28"/>
      <c r="E34" s="76"/>
    </row>
    <row r="35" spans="1:5" ht="21" customHeight="1">
      <c r="A35" s="62" t="s">
        <v>171</v>
      </c>
      <c r="B35" s="93"/>
      <c r="C35" s="28" t="s">
        <v>172</v>
      </c>
      <c r="D35" s="93"/>
      <c r="E35" s="76"/>
    </row>
    <row r="36" spans="1:5" ht="3.6" customHeight="1">
      <c r="A36" s="62"/>
      <c r="B36" s="226"/>
      <c r="C36" s="28"/>
      <c r="D36" s="226"/>
      <c r="E36" s="76"/>
    </row>
    <row r="37" spans="1:5" ht="21" customHeight="1">
      <c r="A37" s="62" t="s">
        <v>173</v>
      </c>
      <c r="B37" s="93"/>
      <c r="C37" s="28" t="s">
        <v>174</v>
      </c>
      <c r="D37" s="93"/>
      <c r="E37" s="76"/>
    </row>
    <row r="38" spans="1:5" ht="3.6" customHeight="1">
      <c r="A38" s="62"/>
      <c r="B38" s="226"/>
      <c r="C38" s="28"/>
      <c r="D38" s="226"/>
      <c r="E38" s="76"/>
    </row>
    <row r="39" spans="1:5" ht="21" customHeight="1">
      <c r="A39" s="60" t="s">
        <v>86</v>
      </c>
      <c r="B39" s="231"/>
      <c r="C39" s="32" t="s">
        <v>87</v>
      </c>
      <c r="D39" s="47"/>
      <c r="E39" s="76"/>
    </row>
    <row r="40" spans="1:5" ht="21" customHeight="1">
      <c r="A40" s="62" t="s">
        <v>175</v>
      </c>
      <c r="B40" s="93"/>
      <c r="C40" s="28" t="s">
        <v>175</v>
      </c>
      <c r="D40" s="93"/>
      <c r="E40" s="76"/>
    </row>
    <row r="41" spans="1:5" ht="3.6" customHeight="1">
      <c r="A41" s="62"/>
      <c r="B41" s="226"/>
      <c r="C41" s="28"/>
      <c r="D41" s="226"/>
      <c r="E41" s="76"/>
    </row>
    <row r="42" spans="1:5" ht="21" customHeight="1">
      <c r="A42" s="62" t="s">
        <v>176</v>
      </c>
      <c r="B42" s="93"/>
      <c r="C42" s="28" t="s">
        <v>176</v>
      </c>
      <c r="D42" s="93"/>
      <c r="E42" s="76"/>
    </row>
    <row r="43" spans="1:5" ht="3.6" customHeight="1">
      <c r="A43" s="62"/>
      <c r="B43" s="226"/>
      <c r="C43" s="28"/>
      <c r="D43" s="24"/>
      <c r="E43" s="76"/>
    </row>
    <row r="44" spans="1:5" ht="21" customHeight="1">
      <c r="A44" s="62" t="s">
        <v>177</v>
      </c>
      <c r="B44" s="228"/>
      <c r="C44" s="28" t="s">
        <v>177</v>
      </c>
      <c r="D44" s="228"/>
      <c r="E44" s="76"/>
    </row>
    <row r="45" spans="1:5" ht="3.6" customHeight="1">
      <c r="A45" s="62"/>
      <c r="B45" s="226"/>
      <c r="C45" s="28"/>
      <c r="D45" s="226"/>
      <c r="E45" s="76"/>
    </row>
    <row r="46" spans="1:5" ht="21" customHeight="1" hidden="1">
      <c r="A46" s="59" t="s">
        <v>164</v>
      </c>
      <c r="B46" s="506" t="s">
        <v>165</v>
      </c>
      <c r="C46" s="506"/>
      <c r="D46" s="506"/>
      <c r="E46" s="76"/>
    </row>
    <row r="47" spans="1:5" ht="21" customHeight="1" hidden="1">
      <c r="A47" s="58" t="s">
        <v>175</v>
      </c>
      <c r="B47" s="250"/>
      <c r="C47" s="247" t="s">
        <v>177</v>
      </c>
      <c r="D47" s="228"/>
      <c r="E47" s="76"/>
    </row>
    <row r="48" spans="1:5" ht="3.6" customHeight="1" hidden="1">
      <c r="A48" s="58"/>
      <c r="B48" s="50"/>
      <c r="C48" s="51"/>
      <c r="D48" s="251"/>
      <c r="E48" s="76"/>
    </row>
    <row r="49" spans="1:5" ht="21" customHeight="1" hidden="1">
      <c r="A49" s="58" t="s">
        <v>176</v>
      </c>
      <c r="B49" s="49"/>
      <c r="C49" s="51"/>
      <c r="D49" s="251"/>
      <c r="E49" s="76"/>
    </row>
    <row r="50" spans="1:5" ht="3.6" customHeight="1">
      <c r="A50" s="101"/>
      <c r="B50" s="85"/>
      <c r="C50" s="84"/>
      <c r="D50" s="85"/>
      <c r="E50" s="80"/>
    </row>
    <row r="51" spans="1:5" ht="6.95" customHeight="1">
      <c r="A51" s="259"/>
      <c r="B51" s="260"/>
      <c r="C51" s="259"/>
      <c r="D51" s="259"/>
      <c r="E51" s="259"/>
    </row>
    <row r="52" spans="1:5" ht="21" customHeight="1">
      <c r="A52" s="98" t="s">
        <v>88</v>
      </c>
      <c r="B52" s="82"/>
      <c r="C52" s="501" t="str">
        <f>IF(B53="--Select--","Select an Order Reason",IF(B53="New Customer","Submit eOrder form with a new Rental Agreement, Proof of ID &amp; Direct Debit information",IF(B53="Add to Fleet","Submit eOrder form with a new Add to Fleet Form",IF(B53="Renewal","Submit eOrder with a new Rental Agreement &amp; list the units to be Renewed, in the Fleet Information tab (enter AVL/Director vehicle names &amp;/or serial numbers)",IF(B53="Replacement","List the units to be Replaced in the Fleet Information tab (enter AVL/Director vehicle names &amp;/or unit serial numbers)","")))))</f>
        <v>Select an Order Reason</v>
      </c>
      <c r="D52" s="501"/>
      <c r="E52" s="76"/>
    </row>
    <row r="53" spans="1:7" s="5" customFormat="1" ht="21" customHeight="1">
      <c r="A53" s="62" t="s">
        <v>89</v>
      </c>
      <c r="B53" s="27" t="s">
        <v>24</v>
      </c>
      <c r="C53" s="501"/>
      <c r="D53" s="501"/>
      <c r="E53" s="86"/>
      <c r="F53" s="39"/>
      <c r="G53" s="39"/>
    </row>
    <row r="54" spans="1:7" s="5" customFormat="1" ht="5.1" customHeight="1">
      <c r="A54" s="62"/>
      <c r="B54" s="26"/>
      <c r="C54" s="46"/>
      <c r="D54" s="46"/>
      <c r="E54" s="86"/>
      <c r="F54" s="39"/>
      <c r="G54" s="39"/>
    </row>
    <row r="55" spans="1:7" s="5" customFormat="1" ht="21" customHeight="1">
      <c r="A55" s="62" t="s">
        <v>158</v>
      </c>
      <c r="B55" s="27" t="s">
        <v>24</v>
      </c>
      <c r="C55" s="28" t="s">
        <v>90</v>
      </c>
      <c r="D55" s="27"/>
      <c r="E55" s="86"/>
      <c r="F55" s="39"/>
      <c r="G55" s="39"/>
    </row>
    <row r="56" spans="1:7" s="5" customFormat="1" ht="3.6" customHeight="1">
      <c r="A56" s="62"/>
      <c r="B56" s="26"/>
      <c r="C56" s="46"/>
      <c r="D56" s="46"/>
      <c r="E56" s="86"/>
      <c r="F56" s="39"/>
      <c r="G56" s="39"/>
    </row>
    <row r="57" spans="1:7" s="5" customFormat="1" ht="21" customHeight="1">
      <c r="A57" s="99" t="s">
        <v>159</v>
      </c>
      <c r="B57" s="82"/>
      <c r="C57" s="44" t="s">
        <v>92</v>
      </c>
      <c r="D57" s="25">
        <v>0</v>
      </c>
      <c r="E57" s="86"/>
      <c r="F57" s="39"/>
      <c r="G57" s="39"/>
    </row>
    <row r="58" spans="1:5" ht="6.95" customHeight="1">
      <c r="A58" s="100"/>
      <c r="B58" s="87"/>
      <c r="C58" s="79"/>
      <c r="D58" s="79"/>
      <c r="E58" s="80"/>
    </row>
    <row r="59" spans="1:5" ht="22.15" customHeight="1">
      <c r="A59" s="94"/>
      <c r="B59" s="95"/>
      <c r="C59" s="96"/>
      <c r="D59" s="96"/>
      <c r="E59" s="96"/>
    </row>
    <row r="60" spans="1:5" s="43" customFormat="1" ht="18" customHeight="1">
      <c r="A60" s="499" t="s">
        <v>220</v>
      </c>
      <c r="B60" s="499"/>
      <c r="C60" s="499"/>
      <c r="D60" s="499"/>
      <c r="E60" s="499"/>
    </row>
    <row r="61" spans="1:5" s="43" customFormat="1" ht="18" customHeight="1">
      <c r="A61" s="88"/>
      <c r="B61" s="89" t="s">
        <v>89</v>
      </c>
      <c r="C61" s="89" t="s">
        <v>36</v>
      </c>
      <c r="D61" s="89" t="s">
        <v>91</v>
      </c>
      <c r="E61" s="90"/>
    </row>
    <row r="62" spans="1:4" s="43" customFormat="1" ht="18" customHeight="1">
      <c r="A62" s="91" t="s">
        <v>24</v>
      </c>
      <c r="B62" s="91" t="s">
        <v>24</v>
      </c>
      <c r="C62" s="91" t="s">
        <v>24</v>
      </c>
      <c r="D62" s="91" t="s">
        <v>24</v>
      </c>
    </row>
    <row r="63" spans="1:5" s="43" customFormat="1" ht="18" customHeight="1">
      <c r="A63" s="91" t="s">
        <v>15</v>
      </c>
      <c r="B63" s="91" t="s">
        <v>94</v>
      </c>
      <c r="C63" s="91" t="s">
        <v>42</v>
      </c>
      <c r="D63" s="91" t="s">
        <v>95</v>
      </c>
      <c r="E63" s="90"/>
    </row>
    <row r="64" spans="1:4" s="43" customFormat="1" ht="18" customHeight="1">
      <c r="A64" s="91" t="s">
        <v>16</v>
      </c>
      <c r="B64" s="91" t="s">
        <v>96</v>
      </c>
      <c r="C64" s="91" t="s">
        <v>157</v>
      </c>
      <c r="D64" s="91" t="s">
        <v>97</v>
      </c>
    </row>
    <row r="65" spans="1:4" s="43" customFormat="1" ht="18" customHeight="1">
      <c r="A65" s="92"/>
      <c r="B65" s="91" t="s">
        <v>68</v>
      </c>
      <c r="C65" s="91"/>
      <c r="D65" s="91" t="s">
        <v>66</v>
      </c>
    </row>
    <row r="66" s="43" customFormat="1" ht="18" customHeight="1">
      <c r="B66" s="91" t="s">
        <v>69</v>
      </c>
    </row>
    <row r="67" s="43" customFormat="1" ht="18" customHeight="1">
      <c r="B67" s="91" t="s">
        <v>98</v>
      </c>
    </row>
    <row r="68" s="43" customFormat="1" ht="18" customHeight="1">
      <c r="B68" s="91" t="s">
        <v>121</v>
      </c>
    </row>
    <row r="69" s="43" customFormat="1" ht="15"/>
    <row r="70" s="43" customFormat="1" ht="15"/>
    <row r="71" s="43" customFormat="1" ht="15"/>
    <row r="72" s="43" customFormat="1" ht="15"/>
    <row r="73" s="43" customFormat="1" ht="15"/>
    <row r="74" s="43" customFormat="1" ht="15"/>
    <row r="75" s="43" customFormat="1" ht="15"/>
    <row r="76" s="43" customFormat="1" ht="15"/>
    <row r="77" s="43" customFormat="1" ht="15"/>
    <row r="78" s="43" customFormat="1" ht="15"/>
    <row r="79" s="43" customFormat="1" ht="15"/>
  </sheetData>
  <sheetProtection algorithmName="SHA-512" hashValue="Tz7qfnHgjioXsrnf0vc2RzqGhiod7nSTiKpwOPUkvqXKZSyEVC+pi3LHAepIXLG/jSQcuaDsL9Bh1L0KTlUB8A==" saltValue="HMAIvrsO0aUmj+XIwi/1iw==" spinCount="100000" sheet="1" objects="1" scenarios="1" selectLockedCells="1"/>
  <protectedRanges>
    <protectedRange password="DC2D" sqref="B27:B32 D29:D31 D53:D54 D56 B50:B51 D50:D51 B47 D47 B35:B38 D35:D38 B40:B45 D40:D45 B34 D33:D34" name="CustDeal_2"/>
    <protectedRange password="DC2D" sqref="B33" name="CustDeal_1_1"/>
    <protectedRange password="DC2D" sqref="D17:D19 D21 C20:D20 B17:B21" name="CustDeal"/>
    <protectedRange password="DC2D" sqref="B46 D46 B48:B49 D48:D49" name="CustDeal_2_2"/>
  </protectedRanges>
  <mergeCells count="7">
    <mergeCell ref="C1:E3"/>
    <mergeCell ref="A60:E60"/>
    <mergeCell ref="C30:C32"/>
    <mergeCell ref="C52:D53"/>
    <mergeCell ref="C4:E5"/>
    <mergeCell ref="A6:E7"/>
    <mergeCell ref="B46:D46"/>
  </mergeCells>
  <conditionalFormatting sqref="B57">
    <cfRule type="expression" priority="7" dxfId="109">
      <formula>IF($B$55="Bill to Other",TRUE)</formula>
    </cfRule>
  </conditionalFormatting>
  <conditionalFormatting sqref="C1:E3">
    <cfRule type="cellIs" priority="1" dxfId="44" operator="equal">
      <formula>"NextGen eOrder"</formula>
    </cfRule>
    <cfRule type="cellIs" priority="2" dxfId="44" operator="equal">
      <formula>"NextGen eOrder"</formula>
    </cfRule>
    <cfRule type="cellIs" priority="4" dxfId="92" operator="equal">
      <formula>"NextGen eOrder"</formula>
    </cfRule>
    <cfRule type="cellIs" priority="5" dxfId="1" operator="equal">
      <formula>"Director eOrder"</formula>
    </cfRule>
    <cfRule type="containsText" priority="6" dxfId="0" operator="containsText" text="NextGen">
      <formula>NOT(ISERROR(SEARCH("NextGen",C1)))</formula>
    </cfRule>
  </conditionalFormatting>
  <dataValidations count="8">
    <dataValidation type="list" allowBlank="1" showErrorMessage="1" promptTitle="Start Here" prompt="Select an Order Reason" errorTitle="Select Order Reason" error="The Order Reason must be selected from the drop-down list." sqref="B53">
      <formula1>$B$62:$B$68</formula1>
    </dataValidation>
    <dataValidation type="list" allowBlank="1" showErrorMessage="1" promptTitle="Start Here" prompt="Select an Order Reason" errorTitle="Select Order Reason" error="The Order Reason must be selected from the drop-down list." sqref="B54 B56">
      <formula1>$B$62:$B$67</formula1>
    </dataValidation>
    <dataValidation type="list" allowBlank="1" showInputMessage="1" showErrorMessage="1" sqref="B31:B32">
      <formula1>$A$62:$A$64</formula1>
    </dataValidation>
    <dataValidation type="list" allowBlank="1" showErrorMessage="1" promptTitle="Start Here" prompt="Select an Order Reason" errorTitle="Select Order Reason" error="The Order Reason must be selected from the drop-down list." sqref="B55">
      <formula1>$C$62:$C$64</formula1>
    </dataValidation>
    <dataValidation allowBlank="1" showErrorMessage="1" promptTitle="Start Here" prompt="Select an Order Reason" errorTitle="Select Order Reason" error="The Order Reason must be selected from the drop-down list." sqref="B57"/>
    <dataValidation allowBlank="1" showInputMessage="1" showErrorMessage="1" promptTitle="Industry:" prompt="Refer to the worksheet 'Industry Code' for a detailed list of industries and sub-industries" sqref="C29"/>
    <dataValidation type="list" allowBlank="1" showInputMessage="1" showErrorMessage="1" promptTitle="Industry:" prompt="Refer to the worksheet 'Industry Code' for a detailed list of industries and sub-industries" sqref="D29">
      <formula1>#REF!</formula1>
    </dataValidation>
    <dataValidation type="list" allowBlank="1" showInputMessage="1" showErrorMessage="1" promptTitle="Industry:" prompt="Refer to the worksheet 'Industry Code' for a detailed list of industries and sub-industries" sqref="D30">
      <formula1>#REF!</formula1>
    </dataValidation>
  </dataValidations>
  <pageMargins left="0.236220472440945" right="0.236220472440945" top="0.354330708661417" bottom="0.354330708661417" header="0.31496062992126" footer="0.31496062992126"/>
  <pageSetup orientation="portrait" paperSize="9" r:id="rId4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8129" r:id="rId1" name="Check Box 1">
              <controlPr defaultSize="0" autoLine="0" autoPict="0">
                <anchor moveWithCells="1">
                  <from>
                    <xdr:col>2</xdr:col>
                    <xdr:colOff>1390650</xdr:colOff>
                    <xdr:row>23</xdr:row>
                    <xdr:rowOff>57150</xdr:rowOff>
                  </from>
                  <to>
                    <xdr:col>3</xdr:col>
                    <xdr:colOff>390525</xdr:colOff>
                    <xdr:row>26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K66"/>
  <sheetViews>
    <sheetView showGridLines="0" showRowColHeaders="0" tabSelected="1" zoomScale="115" zoomScaleNormal="115" workbookViewId="0" topLeftCell="A1">
      <selection pane="topLeft" activeCell="I11" sqref="I11"/>
    </sheetView>
  </sheetViews>
  <sheetFormatPr defaultColWidth="9.140625" defaultRowHeight="15"/>
  <cols>
    <col min="1" max="1" width="25" style="4" customWidth="1"/>
    <col min="2" max="2" width="58.8571428571429" style="4" customWidth="1"/>
    <col min="3" max="3" width="23.4285714285714" style="4" customWidth="1"/>
    <col min="4" max="4" width="58.8571428571429" style="4" customWidth="1"/>
    <col min="5" max="5" width="1.28571428571429" style="4" customWidth="1"/>
    <col min="6" max="7" width="9.57142857142857" style="4" customWidth="1"/>
    <col min="8" max="16384" width="9.14285714285714" style="4"/>
  </cols>
  <sheetData>
    <row r="1" spans="1:5" ht="42.75" customHeight="1">
      <c r="A1" s="512"/>
      <c r="B1" s="512"/>
      <c r="C1" s="434" t="s">
        <v>300</v>
      </c>
      <c r="D1" s="435" t="s">
        <v>468</v>
      </c>
      <c r="E1" s="289"/>
    </row>
    <row r="2" spans="1:7" s="5" customFormat="1" ht="42.75" customHeight="1">
      <c r="A2" s="512"/>
      <c r="B2" s="512"/>
      <c r="C2" s="434" t="s">
        <v>299</v>
      </c>
      <c r="D2" s="435" t="b">
        <v>1</v>
      </c>
      <c r="E2" s="436"/>
      <c r="F2" s="4"/>
      <c r="G2" s="4"/>
    </row>
    <row r="3" spans="1:7" s="5" customFormat="1" ht="9" customHeight="1">
      <c r="A3" s="512"/>
      <c r="B3" s="512"/>
      <c r="C3" s="437"/>
      <c r="D3" s="437"/>
      <c r="E3" s="437"/>
      <c r="F3" s="4"/>
      <c r="G3" s="4"/>
    </row>
    <row r="4" spans="1:7" s="5" customFormat="1" ht="12" customHeight="1">
      <c r="A4" s="504" t="s">
        <v>163</v>
      </c>
      <c r="B4" s="504"/>
      <c r="C4" s="504"/>
      <c r="D4" s="504"/>
      <c r="E4" s="504"/>
      <c r="F4" s="4"/>
      <c r="G4" s="4"/>
    </row>
    <row r="5" spans="1:7" s="5" customFormat="1" ht="12" customHeight="1">
      <c r="A5" s="505"/>
      <c r="B5" s="505"/>
      <c r="C5" s="505"/>
      <c r="D5" s="505"/>
      <c r="E5" s="505"/>
      <c r="F5" s="4"/>
      <c r="G5" s="4"/>
    </row>
    <row r="6" spans="1:5" ht="22.15" customHeight="1">
      <c r="A6" s="64" t="s">
        <v>79</v>
      </c>
      <c r="B6" s="61"/>
      <c r="C6" s="61"/>
      <c r="D6" s="61"/>
      <c r="E6" s="57"/>
    </row>
    <row r="7" spans="1:5" ht="21" customHeight="1">
      <c r="A7" s="56" t="s">
        <v>178</v>
      </c>
      <c r="B7" s="93" t="s">
        <v>245</v>
      </c>
      <c r="C7" s="28" t="s">
        <v>80</v>
      </c>
      <c r="D7" s="439"/>
      <c r="E7" s="35"/>
    </row>
    <row r="8" spans="1:5" ht="3.75" customHeight="1">
      <c r="A8" s="56"/>
      <c r="B8" s="226"/>
      <c r="C8" s="28"/>
      <c r="D8" s="226"/>
      <c r="E8" s="35"/>
    </row>
    <row r="9" spans="1:5" ht="21" customHeight="1">
      <c r="A9" s="56" t="s">
        <v>179</v>
      </c>
      <c r="B9" s="93" t="s">
        <v>246</v>
      </c>
      <c r="C9" s="28" t="s">
        <v>81</v>
      </c>
      <c r="D9" s="439" t="s">
        <v>249</v>
      </c>
      <c r="E9" s="35"/>
    </row>
    <row r="10" spans="1:5" ht="3.75" customHeight="1">
      <c r="A10" s="56"/>
      <c r="B10" s="226"/>
      <c r="C10" s="28"/>
      <c r="D10" s="226"/>
      <c r="E10" s="40"/>
    </row>
    <row r="11" spans="1:5" ht="21" customHeight="1">
      <c r="A11" s="56" t="s">
        <v>176</v>
      </c>
      <c r="B11" s="438" t="s">
        <v>247</v>
      </c>
      <c r="C11" s="28" t="s">
        <v>180</v>
      </c>
      <c r="D11" s="454" t="s">
        <v>250</v>
      </c>
      <c r="E11" s="40"/>
    </row>
    <row r="12" spans="1:5" ht="3.75" customHeight="1">
      <c r="A12" s="56"/>
      <c r="B12" s="226"/>
      <c r="C12" s="28"/>
      <c r="D12" s="226"/>
      <c r="E12" s="40"/>
    </row>
    <row r="13" spans="1:5" ht="21" customHeight="1">
      <c r="A13" s="56" t="s">
        <v>82</v>
      </c>
      <c r="B13" s="438" t="s">
        <v>248</v>
      </c>
      <c r="C13" s="28" t="s">
        <v>181</v>
      </c>
      <c r="D13" s="438" t="s">
        <v>467</v>
      </c>
      <c r="E13" s="40"/>
    </row>
    <row r="14" spans="1:5" ht="3.75" customHeight="1">
      <c r="A14" s="55"/>
      <c r="B14" s="54"/>
      <c r="C14" s="33"/>
      <c r="D14" s="33"/>
      <c r="E14" s="41"/>
    </row>
    <row r="15" spans="1:5" ht="3.6" customHeight="1" hidden="1">
      <c r="A15" s="245"/>
      <c r="B15" s="54"/>
      <c r="C15" s="33"/>
      <c r="D15" s="33"/>
      <c r="E15" s="246"/>
    </row>
    <row r="16" spans="1:5" ht="6.95" customHeight="1">
      <c r="A16" s="73"/>
      <c r="B16" s="73"/>
      <c r="C16" s="73"/>
      <c r="D16" s="73"/>
      <c r="E16" s="73"/>
    </row>
    <row r="17" spans="1:5" ht="21" customHeight="1">
      <c r="A17" s="34" t="s">
        <v>83</v>
      </c>
      <c r="B17" s="53"/>
      <c r="C17" s="53"/>
      <c r="D17" s="53"/>
      <c r="E17" s="57"/>
    </row>
    <row r="18" spans="1:5" ht="21" customHeight="1">
      <c r="A18" s="56" t="s">
        <v>166</v>
      </c>
      <c r="B18" s="438" t="s">
        <v>251</v>
      </c>
      <c r="C18" s="28" t="s">
        <v>167</v>
      </c>
      <c r="D18" s="440" t="s">
        <v>254</v>
      </c>
      <c r="E18" s="35"/>
    </row>
    <row r="19" spans="1:5" ht="3.75" customHeight="1">
      <c r="A19" s="56"/>
      <c r="B19" s="226"/>
      <c r="C19" s="28"/>
      <c r="D19" s="226"/>
      <c r="E19" s="35"/>
    </row>
    <row r="20" spans="1:9" ht="21" customHeight="1">
      <c r="A20" s="56" t="s">
        <v>168</v>
      </c>
      <c r="B20" s="438"/>
      <c r="C20" s="28" t="s">
        <v>169</v>
      </c>
      <c r="D20" s="438" t="s">
        <v>255</v>
      </c>
      <c r="E20" s="35"/>
      <c r="I20" s="21"/>
    </row>
    <row r="21" spans="1:5" ht="3.75" customHeight="1">
      <c r="A21" s="56"/>
      <c r="B21" s="226"/>
      <c r="C21" s="500" t="s">
        <v>256</v>
      </c>
      <c r="D21" s="24"/>
      <c r="E21" s="35"/>
    </row>
    <row r="22" spans="1:5" ht="21" customHeight="1">
      <c r="A22" s="56" t="s">
        <v>85</v>
      </c>
      <c r="B22" s="438" t="s">
        <v>253</v>
      </c>
      <c r="C22" s="500"/>
      <c r="D22" s="438" t="s">
        <v>257</v>
      </c>
      <c r="E22" s="35"/>
    </row>
    <row r="23" spans="1:5" ht="3.75" customHeight="1">
      <c r="A23" s="56"/>
      <c r="B23" s="28"/>
      <c r="C23" s="500"/>
      <c r="D23" s="22"/>
      <c r="E23" s="35"/>
    </row>
    <row r="24" spans="1:5" ht="21" customHeight="1">
      <c r="A24" s="56" t="s">
        <v>171</v>
      </c>
      <c r="B24" s="438" t="s">
        <v>252</v>
      </c>
      <c r="C24" s="56" t="s">
        <v>170</v>
      </c>
      <c r="D24" s="440" t="s">
        <v>258</v>
      </c>
      <c r="E24" s="35"/>
    </row>
    <row r="25" spans="1:5" ht="3.75" customHeight="1">
      <c r="A25" s="56"/>
      <c r="B25" s="226"/>
      <c r="C25" s="28"/>
      <c r="D25" s="28"/>
      <c r="E25" s="35"/>
    </row>
    <row r="26" spans="1:5" ht="21" customHeight="1">
      <c r="A26" s="56" t="s">
        <v>173</v>
      </c>
      <c r="B26" s="438" t="s">
        <v>261</v>
      </c>
      <c r="C26" s="28" t="s">
        <v>172</v>
      </c>
      <c r="D26" s="438" t="s">
        <v>469</v>
      </c>
      <c r="E26" s="35"/>
    </row>
    <row r="27" spans="1:5" ht="3.75" customHeight="1">
      <c r="A27" s="56"/>
      <c r="B27" s="28"/>
      <c r="C27" s="28"/>
      <c r="D27" s="226"/>
      <c r="E27" s="35"/>
    </row>
    <row r="28" spans="1:5" ht="21" customHeight="1">
      <c r="A28" s="290"/>
      <c r="B28" s="28"/>
      <c r="C28" s="28" t="s">
        <v>174</v>
      </c>
      <c r="D28" s="440" t="s">
        <v>470</v>
      </c>
      <c r="E28" s="35"/>
    </row>
    <row r="29" spans="1:5" ht="3.75" customHeight="1">
      <c r="A29" s="56"/>
      <c r="B29" s="28"/>
      <c r="C29" s="28"/>
      <c r="D29" s="28"/>
      <c r="E29" s="35"/>
    </row>
    <row r="30" spans="1:5" ht="21" customHeight="1">
      <c r="A30" s="36" t="s">
        <v>298</v>
      </c>
      <c r="B30" s="47"/>
      <c r="C30" s="32"/>
      <c r="D30" s="47"/>
      <c r="E30" s="35"/>
    </row>
    <row r="31" spans="1:5" ht="21" customHeight="1">
      <c r="A31" s="56" t="s">
        <v>295</v>
      </c>
      <c r="B31" s="438" t="b">
        <v>0</v>
      </c>
      <c r="C31" s="28" t="s">
        <v>296</v>
      </c>
      <c r="D31" s="438" t="b">
        <v>0</v>
      </c>
      <c r="E31" s="35"/>
    </row>
    <row r="32" spans="1:5" ht="9.75" customHeight="1">
      <c r="A32" s="56"/>
      <c r="B32" s="28"/>
      <c r="C32" s="28"/>
      <c r="D32" s="28"/>
      <c r="E32" s="35"/>
    </row>
    <row r="33" spans="1:5" ht="21" customHeight="1">
      <c r="A33" s="36" t="s">
        <v>86</v>
      </c>
      <c r="B33" s="47"/>
      <c r="C33" s="32" t="s">
        <v>87</v>
      </c>
      <c r="D33" s="47"/>
      <c r="E33" s="35"/>
    </row>
    <row r="34" spans="1:5" ht="21" customHeight="1">
      <c r="A34" s="56" t="s">
        <v>175</v>
      </c>
      <c r="B34" s="438" t="s">
        <v>297</v>
      </c>
      <c r="C34" s="28" t="s">
        <v>175</v>
      </c>
      <c r="D34" s="440" t="s">
        <v>297</v>
      </c>
      <c r="E34" s="35"/>
    </row>
    <row r="35" spans="1:5" ht="3.75" customHeight="1">
      <c r="A35" s="56"/>
      <c r="B35" s="226"/>
      <c r="C35" s="28"/>
      <c r="D35" s="226"/>
      <c r="E35" s="35"/>
    </row>
    <row r="36" spans="1:5" ht="21" customHeight="1">
      <c r="A36" s="56" t="s">
        <v>176</v>
      </c>
      <c r="B36" s="441" t="s">
        <v>288</v>
      </c>
      <c r="C36" s="28" t="s">
        <v>176</v>
      </c>
      <c r="D36" s="440" t="s">
        <v>288</v>
      </c>
      <c r="E36" s="35"/>
    </row>
    <row r="37" spans="1:5" ht="3.75" customHeight="1">
      <c r="A37" s="56"/>
      <c r="B37" s="226"/>
      <c r="C37" s="28"/>
      <c r="D37" s="226"/>
      <c r="E37" s="35"/>
    </row>
    <row r="38" spans="1:5" ht="21" customHeight="1">
      <c r="A38" s="56" t="s">
        <v>177</v>
      </c>
      <c r="B38" s="438" t="s">
        <v>289</v>
      </c>
      <c r="C38" s="28" t="s">
        <v>177</v>
      </c>
      <c r="D38" s="440" t="s">
        <v>289</v>
      </c>
      <c r="E38" s="35"/>
    </row>
    <row r="39" spans="1:5" ht="3.75" customHeight="1">
      <c r="A39" s="56"/>
      <c r="B39" s="28"/>
      <c r="C39" s="28"/>
      <c r="D39" s="28"/>
      <c r="E39" s="35"/>
    </row>
    <row r="40" spans="1:5" ht="21" customHeight="1" hidden="1">
      <c r="A40" s="36" t="s">
        <v>244</v>
      </c>
      <c r="B40" s="506"/>
      <c r="C40" s="506"/>
      <c r="D40" s="506"/>
      <c r="E40" s="35"/>
    </row>
    <row r="41" spans="1:5" ht="21" customHeight="1" hidden="1">
      <c r="A41" s="48"/>
      <c r="B41" s="442" t="s">
        <v>24</v>
      </c>
      <c r="C41" s="247" t="s">
        <v>177</v>
      </c>
      <c r="D41" s="443"/>
      <c r="E41" s="35"/>
    </row>
    <row r="42" spans="1:5" ht="3.6" customHeight="1" hidden="1">
      <c r="A42" s="48"/>
      <c r="B42" s="50"/>
      <c r="C42" s="51"/>
      <c r="D42" s="251"/>
      <c r="E42" s="35"/>
    </row>
    <row r="43" spans="1:5" ht="21" customHeight="1" hidden="1">
      <c r="A43" s="48" t="s">
        <v>175</v>
      </c>
      <c r="B43" s="443"/>
      <c r="C43" s="48" t="s">
        <v>176</v>
      </c>
      <c r="D43" s="443"/>
      <c r="E43" s="35"/>
    </row>
    <row r="44" spans="1:5" ht="6.95" customHeight="1">
      <c r="A44" s="52"/>
      <c r="B44" s="37"/>
      <c r="C44" s="63"/>
      <c r="D44" s="37"/>
      <c r="E44" s="65"/>
    </row>
    <row r="45" spans="1:7" ht="6.95" customHeight="1">
      <c r="A45" s="71"/>
      <c r="B45" s="72"/>
      <c r="C45" s="71"/>
      <c r="D45" s="71"/>
      <c r="E45" s="71"/>
      <c r="F45" s="6"/>
      <c r="G45" s="6"/>
    </row>
    <row r="46" spans="1:11" ht="21" customHeight="1">
      <c r="A46" s="66" t="s">
        <v>88</v>
      </c>
      <c r="B46" s="67"/>
      <c r="C46" s="510" t="s">
        <v>228</v>
      </c>
      <c r="D46" s="68"/>
      <c r="E46" s="57"/>
      <c r="K46" s="29"/>
    </row>
    <row r="47" spans="1:5" s="5" customFormat="1" ht="21" customHeight="1">
      <c r="A47" s="56" t="s">
        <v>226</v>
      </c>
      <c r="B47" s="438" t="s">
        <v>290</v>
      </c>
      <c r="C47" s="511"/>
      <c r="D47" s="438" t="s">
        <v>16</v>
      </c>
      <c r="E47" s="38"/>
    </row>
    <row r="48" spans="1:5" s="5" customFormat="1" ht="3.75" customHeight="1">
      <c r="A48" s="56"/>
      <c r="B48" s="26"/>
      <c r="C48" s="28"/>
      <c r="D48" s="46"/>
      <c r="E48" s="38"/>
    </row>
    <row r="49" spans="1:5" s="5" customFormat="1" ht="21" customHeight="1">
      <c r="A49" s="56" t="s">
        <v>432</v>
      </c>
      <c r="B49" s="438" t="s">
        <v>259</v>
      </c>
      <c r="C49" s="28" t="s">
        <v>90</v>
      </c>
      <c r="D49" s="438"/>
      <c r="E49" s="38"/>
    </row>
    <row r="50" spans="1:5" s="5" customFormat="1" ht="3.75" customHeight="1">
      <c r="A50" s="56"/>
      <c r="B50" s="26"/>
      <c r="C50" s="46"/>
      <c r="D50" s="46"/>
      <c r="E50" s="38"/>
    </row>
    <row r="51" spans="1:5" s="5" customFormat="1" ht="21" customHeight="1">
      <c r="A51" s="56" t="s">
        <v>433</v>
      </c>
      <c r="B51" s="438" t="s">
        <v>95</v>
      </c>
      <c r="C51" s="509" t="s">
        <v>240</v>
      </c>
      <c r="D51" s="438" t="s">
        <v>16</v>
      </c>
      <c r="E51" s="38"/>
    </row>
    <row r="52" spans="1:5" s="5" customFormat="1" ht="3.75" customHeight="1">
      <c r="A52" s="56"/>
      <c r="B52" s="26"/>
      <c r="C52" s="509"/>
      <c r="D52" s="46"/>
      <c r="E52" s="38"/>
    </row>
    <row r="53" spans="1:5" s="5" customFormat="1" ht="21" customHeight="1">
      <c r="A53" s="56" t="s">
        <v>93</v>
      </c>
      <c r="B53" s="444" t="s">
        <v>260</v>
      </c>
      <c r="C53" s="304" t="s">
        <v>239</v>
      </c>
      <c r="D53" s="438"/>
      <c r="E53" s="38"/>
    </row>
    <row r="54" spans="1:5" s="5" customFormat="1" ht="21" customHeight="1">
      <c r="A54" s="283"/>
      <c r="B54" s="430"/>
      <c r="C54" s="44"/>
      <c r="D54" s="69"/>
      <c r="E54" s="70"/>
    </row>
    <row r="55" spans="1:5" s="5" customFormat="1" ht="2.25" customHeight="1">
      <c r="A55" s="282"/>
      <c r="B55" s="429"/>
      <c r="C55" s="223"/>
      <c r="D55" s="224"/>
      <c r="E55" s="225"/>
    </row>
    <row r="56" spans="1:5" ht="18" customHeight="1">
      <c r="A56" s="507" t="s">
        <v>241</v>
      </c>
      <c r="B56" s="499"/>
      <c r="C56" s="499"/>
      <c r="D56" s="499"/>
      <c r="E56" s="508"/>
    </row>
    <row r="57" ht="48" customHeight="1"/>
    <row r="58" ht="48" customHeight="1"/>
    <row r="59" ht="48" customHeight="1"/>
    <row r="66" ht="15">
      <c r="F66" s="274"/>
    </row>
  </sheetData>
  <sheetProtection algorithmName="SHA-512" hashValue="sQvWg3WBRoPjMImNErSmQYe/p70XN+18Cc9A31m7eQR+iul7355QhDpSXuAOHpGn07Z8DBJy5dOv5Da4bABCxQ==" saltValue="ubNeYIVZsGGvvCaH8/GvVQ==" spinCount="100000" sheet="1" objects="1" scenarios="1"/>
  <protectedRanges>
    <protectedRange password="DC2D" sqref="D7:D9 D11 C10:D10 C12:D12 B7:B13 D20:D22 D48 D50 D52:D55 B23:B26 B53:B55 D34:D45 B34:B45 B18:B21 B29 D24:D29 B31:B32 D31:D32" name="CustDeal_2"/>
    <protectedRange password="DC2D" sqref="B22" name="CustDeal_1_1"/>
  </protectedRanges>
  <mergeCells count="9">
    <mergeCell ref="A56:E56"/>
    <mergeCell ref="C21:C23"/>
    <mergeCell ref="C51:C52"/>
    <mergeCell ref="C46:C47"/>
    <mergeCell ref="A1:B1"/>
    <mergeCell ref="A2:B2"/>
    <mergeCell ref="A3:B3"/>
    <mergeCell ref="A4:E5"/>
    <mergeCell ref="B40:D40"/>
  </mergeCells>
  <conditionalFormatting sqref="C1">
    <cfRule type="containsText" priority="5" dxfId="0" operator="containsText" text="NextGen">
      <formula>NOT(ISERROR(SEARCH("NextGen",C1)))</formula>
    </cfRule>
  </conditionalFormatting>
  <conditionalFormatting sqref="C1:E1 D2">
    <cfRule type="cellIs" priority="1" dxfId="44" operator="equal">
      <formula>"NextGen eOrder"</formula>
    </cfRule>
    <cfRule type="cellIs" priority="2" dxfId="1" operator="equal">
      <formula>"Director eOrder"</formula>
    </cfRule>
    <cfRule type="cellIs" priority="3" dxfId="48" operator="equal">
      <formula>"NextGen eOrder"</formula>
    </cfRule>
    <cfRule type="cellIs" priority="4" dxfId="0" operator="equal">
      <formula>"Director eOrder"</formula>
    </cfRule>
  </conditionalFormatting>
  <dataValidations count="4">
    <dataValidation allowBlank="1" showInputMessage="1" showErrorMessage="1" promptTitle="Industry:" prompt="Refer to the worksheet 'Industry Code' for a detailed list of industries and sub-industries" sqref="C20"/>
    <dataValidation type="list" allowBlank="1" showInputMessage="1" showErrorMessage="1" sqref="B41">
      <formula1>#REF!</formula1>
    </dataValidation>
    <dataValidation type="list" allowBlank="1" showErrorMessage="1" promptTitle="Start Here" prompt="Select an Order Reason" errorTitle="Select Order Reason" error="The Order Reason must be selected from the drop-down list." sqref="B48 B50 B52">
      <formula1>#REF!</formula1>
    </dataValidation>
    <dataValidation type="list" allowBlank="1" showInputMessage="1" showErrorMessage="1" promptTitle="Industry:" prompt="Refer to the worksheet 'Industry Code' for a detailed list of industries and sub-industries" sqref="D21">
      <formula1>#REF!</formula1>
    </dataValidation>
  </dataValidations>
  <pageMargins left="0.236220472440945" right="0.236220472440945" top="0.354330708661417" bottom="0.354330708661417" header="0.31496062992126" footer="0.31496062992126"/>
  <pageSetup orientation="portrait" paperSize="9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J59"/>
  <sheetViews>
    <sheetView showGridLines="0" showRowColHeaders="0" zoomScale="90" zoomScaleNormal="90" workbookViewId="0" topLeftCell="A1">
      <selection pane="topLeft" activeCell="B9" sqref="B9:G9"/>
    </sheetView>
  </sheetViews>
  <sheetFormatPr defaultColWidth="8.7109375" defaultRowHeight="12.75"/>
  <cols>
    <col min="1" max="2" width="14" customWidth="1"/>
    <col min="3" max="3" width="14.4285714285714" customWidth="1"/>
    <col min="4" max="4" width="11.4285714285714" customWidth="1"/>
    <col min="5" max="5" width="13.4285714285714" customWidth="1"/>
    <col min="6" max="6" width="2.14285714285714" customWidth="1"/>
    <col min="7" max="7" width="18.1428571428571" customWidth="1"/>
    <col min="8" max="8" width="1.14285714285714" customWidth="1"/>
    <col min="9" max="9" width="10.8571428571429" customWidth="1"/>
    <col min="10" max="10" width="0.285714285714286" customWidth="1"/>
  </cols>
  <sheetData>
    <row r="1" spans="1:9" ht="12" customHeight="1">
      <c r="A1" s="234"/>
      <c r="B1" s="234"/>
      <c r="C1" s="234"/>
      <c r="D1" s="234"/>
      <c r="E1" s="531" t="e">
        <f>IF(#REF!="NextGen","NextGen eOrder","Director eOrder")</f>
        <v>#REF!</v>
      </c>
      <c r="F1" s="531"/>
      <c r="G1" s="531"/>
      <c r="H1" s="531"/>
      <c r="I1" s="531"/>
    </row>
    <row r="2" spans="1:9" ht="12" customHeight="1">
      <c r="A2" s="234"/>
      <c r="B2" s="234"/>
      <c r="C2" s="234"/>
      <c r="D2" s="234"/>
      <c r="E2" s="531"/>
      <c r="F2" s="531"/>
      <c r="G2" s="531"/>
      <c r="H2" s="531"/>
      <c r="I2" s="531"/>
    </row>
    <row r="3" spans="1:9" ht="12" customHeight="1">
      <c r="A3" s="234"/>
      <c r="B3" s="234"/>
      <c r="C3" s="234"/>
      <c r="D3" s="234"/>
      <c r="E3" s="531"/>
      <c r="F3" s="531"/>
      <c r="G3" s="531"/>
      <c r="H3" s="531"/>
      <c r="I3" s="531"/>
    </row>
    <row r="4" spans="1:9" ht="12" customHeight="1">
      <c r="A4" s="31"/>
      <c r="B4" s="31"/>
      <c r="C4" s="31"/>
      <c r="D4" s="31"/>
      <c r="E4" s="520" t="s">
        <v>191</v>
      </c>
      <c r="F4" s="520"/>
      <c r="G4" s="520"/>
      <c r="H4" s="520"/>
      <c r="I4" s="520"/>
    </row>
    <row r="5" spans="1:9" ht="12" customHeight="1">
      <c r="A5" s="31"/>
      <c r="B5" s="31"/>
      <c r="C5" s="31"/>
      <c r="D5" s="31"/>
      <c r="E5" s="520"/>
      <c r="F5" s="520"/>
      <c r="G5" s="520"/>
      <c r="H5" s="520"/>
      <c r="I5" s="520"/>
    </row>
    <row r="6" spans="1:9" ht="12" customHeight="1">
      <c r="A6" s="504" t="s">
        <v>192</v>
      </c>
      <c r="B6" s="504"/>
      <c r="C6" s="504"/>
      <c r="D6" s="504"/>
      <c r="E6" s="504"/>
      <c r="F6" s="504"/>
      <c r="G6" s="504"/>
      <c r="H6" s="504"/>
      <c r="I6" s="504"/>
    </row>
    <row r="7" spans="1:9" ht="12" customHeight="1">
      <c r="A7" s="505"/>
      <c r="B7" s="505"/>
      <c r="C7" s="505"/>
      <c r="D7" s="505"/>
      <c r="E7" s="505"/>
      <c r="F7" s="505"/>
      <c r="G7" s="505"/>
      <c r="H7" s="505"/>
      <c r="I7" s="505"/>
    </row>
    <row r="8" spans="2:3" ht="22.9" customHeight="1" thickBot="1">
      <c r="B8" s="104"/>
      <c r="C8" s="104"/>
    </row>
    <row r="9" spans="2:7" ht="24" customHeight="1" thickBot="1">
      <c r="B9" s="521" t="s">
        <v>130</v>
      </c>
      <c r="C9" s="522"/>
      <c r="D9" s="522"/>
      <c r="E9" s="522"/>
      <c r="F9" s="522"/>
      <c r="G9" s="523"/>
    </row>
    <row r="10" ht="13.5" thickBot="1"/>
    <row r="11" spans="1:10" ht="16.15" customHeight="1">
      <c r="A11" s="527" t="s">
        <v>131</v>
      </c>
      <c r="B11" s="529" t="s">
        <v>132</v>
      </c>
      <c r="C11" s="532" t="s">
        <v>133</v>
      </c>
      <c r="D11" s="529" t="s">
        <v>134</v>
      </c>
      <c r="E11" s="524" t="s">
        <v>135</v>
      </c>
      <c r="F11" s="525"/>
      <c r="G11" s="525"/>
      <c r="H11" s="525"/>
      <c r="I11" s="526"/>
      <c r="J11" s="113"/>
    </row>
    <row r="12" spans="1:10" ht="16.15" customHeight="1" thickBot="1">
      <c r="A12" s="528"/>
      <c r="B12" s="530"/>
      <c r="C12" s="530"/>
      <c r="D12" s="530"/>
      <c r="E12" s="117" t="s">
        <v>136</v>
      </c>
      <c r="F12" s="117"/>
      <c r="G12" s="117" t="s">
        <v>137</v>
      </c>
      <c r="H12" s="117"/>
      <c r="I12" s="118" t="s">
        <v>138</v>
      </c>
      <c r="J12" s="114"/>
    </row>
    <row r="13" spans="1:10" ht="12.75">
      <c r="A13" s="536"/>
      <c r="B13" s="539"/>
      <c r="C13" s="539"/>
      <c r="D13" s="533" t="s">
        <v>193</v>
      </c>
      <c r="E13" s="262"/>
      <c r="F13" s="262"/>
      <c r="G13" s="262"/>
      <c r="H13" s="262"/>
      <c r="I13" s="262"/>
      <c r="J13" s="107"/>
    </row>
    <row r="14" spans="1:10" ht="12.75">
      <c r="A14" s="537"/>
      <c r="B14" s="534"/>
      <c r="C14" s="534"/>
      <c r="D14" s="534"/>
      <c r="E14" s="263"/>
      <c r="F14" s="263"/>
      <c r="G14" s="263"/>
      <c r="H14" s="263"/>
      <c r="I14" s="263"/>
      <c r="J14" s="108"/>
    </row>
    <row r="15" spans="1:10" ht="12.75">
      <c r="A15" s="537"/>
      <c r="B15" s="534"/>
      <c r="C15" s="534"/>
      <c r="D15" s="534"/>
      <c r="E15" s="263"/>
      <c r="F15" s="263"/>
      <c r="G15" s="263"/>
      <c r="H15" s="263"/>
      <c r="I15" s="263"/>
      <c r="J15" s="108"/>
    </row>
    <row r="16" spans="1:10" ht="12.75">
      <c r="A16" s="537"/>
      <c r="B16" s="534"/>
      <c r="C16" s="534"/>
      <c r="D16" s="534"/>
      <c r="E16" s="263"/>
      <c r="F16" s="263"/>
      <c r="G16" s="263"/>
      <c r="H16" s="263"/>
      <c r="I16" s="263"/>
      <c r="J16" s="108"/>
    </row>
    <row r="17" spans="1:10" ht="12.75">
      <c r="A17" s="537"/>
      <c r="B17" s="534"/>
      <c r="C17" s="534"/>
      <c r="D17" s="534"/>
      <c r="E17" s="263"/>
      <c r="F17" s="263"/>
      <c r="G17" s="263"/>
      <c r="H17" s="263"/>
      <c r="I17" s="263"/>
      <c r="J17" s="108"/>
    </row>
    <row r="18" spans="1:10" ht="12.75">
      <c r="A18" s="537"/>
      <c r="B18" s="534"/>
      <c r="C18" s="534"/>
      <c r="D18" s="534"/>
      <c r="E18" s="263"/>
      <c r="F18" s="263"/>
      <c r="G18" s="263"/>
      <c r="H18" s="263"/>
      <c r="I18" s="263"/>
      <c r="J18" s="108"/>
    </row>
    <row r="19" spans="1:10" ht="12.75">
      <c r="A19" s="537"/>
      <c r="B19" s="534"/>
      <c r="C19" s="534"/>
      <c r="D19" s="534"/>
      <c r="E19" s="263"/>
      <c r="F19" s="263"/>
      <c r="G19" s="263"/>
      <c r="H19" s="263"/>
      <c r="I19" s="263"/>
      <c r="J19" s="108"/>
    </row>
    <row r="20" spans="1:10" ht="12.75">
      <c r="A20" s="537"/>
      <c r="B20" s="534"/>
      <c r="C20" s="534"/>
      <c r="D20" s="534"/>
      <c r="E20" s="263"/>
      <c r="F20" s="263"/>
      <c r="G20" s="263"/>
      <c r="H20" s="263"/>
      <c r="I20" s="263"/>
      <c r="J20" s="108"/>
    </row>
    <row r="21" spans="1:10" ht="13.5" thickBot="1">
      <c r="A21" s="538"/>
      <c r="B21" s="535"/>
      <c r="C21" s="535"/>
      <c r="D21" s="535"/>
      <c r="E21" s="264"/>
      <c r="F21" s="264"/>
      <c r="G21" s="264"/>
      <c r="H21" s="264"/>
      <c r="I21" s="264"/>
      <c r="J21" s="109"/>
    </row>
    <row r="22" spans="1:10" ht="12.75">
      <c r="A22" s="517"/>
      <c r="B22" s="513"/>
      <c r="C22" s="513"/>
      <c r="D22" s="516" t="s">
        <v>193</v>
      </c>
      <c r="E22" s="265"/>
      <c r="F22" s="265"/>
      <c r="G22" s="265"/>
      <c r="H22" s="265"/>
      <c r="I22" s="265"/>
      <c r="J22" s="107"/>
    </row>
    <row r="23" spans="1:10" ht="12.75">
      <c r="A23" s="518"/>
      <c r="B23" s="514"/>
      <c r="C23" s="514"/>
      <c r="D23" s="514"/>
      <c r="E23" s="266"/>
      <c r="F23" s="266"/>
      <c r="G23" s="266"/>
      <c r="H23" s="266"/>
      <c r="I23" s="266"/>
      <c r="J23" s="108"/>
    </row>
    <row r="24" spans="1:10" ht="12.75">
      <c r="A24" s="518"/>
      <c r="B24" s="514"/>
      <c r="C24" s="514"/>
      <c r="D24" s="514"/>
      <c r="E24" s="266"/>
      <c r="F24" s="266"/>
      <c r="G24" s="266"/>
      <c r="H24" s="266"/>
      <c r="I24" s="266"/>
      <c r="J24" s="108"/>
    </row>
    <row r="25" spans="1:10" ht="12.75">
      <c r="A25" s="518"/>
      <c r="B25" s="514"/>
      <c r="C25" s="514"/>
      <c r="D25" s="514"/>
      <c r="E25" s="266"/>
      <c r="F25" s="266"/>
      <c r="G25" s="266"/>
      <c r="H25" s="266"/>
      <c r="I25" s="266"/>
      <c r="J25" s="108"/>
    </row>
    <row r="26" spans="1:10" ht="12.75">
      <c r="A26" s="518"/>
      <c r="B26" s="514"/>
      <c r="C26" s="514"/>
      <c r="D26" s="514"/>
      <c r="E26" s="266"/>
      <c r="F26" s="266"/>
      <c r="G26" s="266"/>
      <c r="H26" s="266"/>
      <c r="I26" s="266"/>
      <c r="J26" s="108"/>
    </row>
    <row r="27" spans="1:10" ht="12.75">
      <c r="A27" s="518"/>
      <c r="B27" s="514"/>
      <c r="C27" s="514"/>
      <c r="D27" s="514"/>
      <c r="E27" s="266"/>
      <c r="F27" s="266"/>
      <c r="G27" s="266"/>
      <c r="H27" s="266"/>
      <c r="I27" s="266"/>
      <c r="J27" s="108"/>
    </row>
    <row r="28" spans="1:10" ht="12.75">
      <c r="A28" s="518"/>
      <c r="B28" s="514"/>
      <c r="C28" s="514"/>
      <c r="D28" s="514"/>
      <c r="E28" s="266"/>
      <c r="F28" s="266"/>
      <c r="G28" s="266"/>
      <c r="H28" s="266"/>
      <c r="I28" s="266"/>
      <c r="J28" s="108"/>
    </row>
    <row r="29" spans="1:10" ht="12.75">
      <c r="A29" s="518"/>
      <c r="B29" s="514"/>
      <c r="C29" s="514"/>
      <c r="D29" s="514"/>
      <c r="E29" s="266"/>
      <c r="F29" s="266"/>
      <c r="G29" s="266"/>
      <c r="H29" s="266"/>
      <c r="I29" s="266"/>
      <c r="J29" s="108"/>
    </row>
    <row r="30" spans="1:10" ht="13.5" thickBot="1">
      <c r="A30" s="519"/>
      <c r="B30" s="515"/>
      <c r="C30" s="515"/>
      <c r="D30" s="515"/>
      <c r="E30" s="267"/>
      <c r="F30" s="267"/>
      <c r="G30" s="267"/>
      <c r="H30" s="267"/>
      <c r="I30" s="267"/>
      <c r="J30" s="109"/>
    </row>
    <row r="31" spans="1:10" ht="12.75">
      <c r="A31" s="517"/>
      <c r="B31" s="513"/>
      <c r="C31" s="513"/>
      <c r="D31" s="516" t="s">
        <v>193</v>
      </c>
      <c r="E31" s="265"/>
      <c r="F31" s="265"/>
      <c r="G31" s="265"/>
      <c r="H31" s="265"/>
      <c r="I31" s="265"/>
      <c r="J31" s="107"/>
    </row>
    <row r="32" spans="1:10" ht="12.75">
      <c r="A32" s="518"/>
      <c r="B32" s="514"/>
      <c r="C32" s="514"/>
      <c r="D32" s="514"/>
      <c r="E32" s="266"/>
      <c r="F32" s="266"/>
      <c r="G32" s="266"/>
      <c r="H32" s="266"/>
      <c r="I32" s="266"/>
      <c r="J32" s="108"/>
    </row>
    <row r="33" spans="1:10" ht="12.75">
      <c r="A33" s="518"/>
      <c r="B33" s="514"/>
      <c r="C33" s="514"/>
      <c r="D33" s="514"/>
      <c r="E33" s="266"/>
      <c r="F33" s="266"/>
      <c r="G33" s="266"/>
      <c r="H33" s="266"/>
      <c r="I33" s="266"/>
      <c r="J33" s="108"/>
    </row>
    <row r="34" spans="1:10" ht="12.75">
      <c r="A34" s="518"/>
      <c r="B34" s="514"/>
      <c r="C34" s="514"/>
      <c r="D34" s="514"/>
      <c r="E34" s="266"/>
      <c r="F34" s="266"/>
      <c r="G34" s="266"/>
      <c r="H34" s="266"/>
      <c r="I34" s="266"/>
      <c r="J34" s="108"/>
    </row>
    <row r="35" spans="1:10" ht="12.75">
      <c r="A35" s="518"/>
      <c r="B35" s="514"/>
      <c r="C35" s="514"/>
      <c r="D35" s="514"/>
      <c r="E35" s="266"/>
      <c r="F35" s="266"/>
      <c r="G35" s="266"/>
      <c r="H35" s="266"/>
      <c r="I35" s="266"/>
      <c r="J35" s="108"/>
    </row>
    <row r="36" spans="1:10" ht="12.75">
      <c r="A36" s="518"/>
      <c r="B36" s="514"/>
      <c r="C36" s="514"/>
      <c r="D36" s="514"/>
      <c r="E36" s="266"/>
      <c r="F36" s="266"/>
      <c r="G36" s="266"/>
      <c r="H36" s="266"/>
      <c r="I36" s="266"/>
      <c r="J36" s="108"/>
    </row>
    <row r="37" spans="1:10" ht="12.75">
      <c r="A37" s="518"/>
      <c r="B37" s="514"/>
      <c r="C37" s="514"/>
      <c r="D37" s="514"/>
      <c r="E37" s="266"/>
      <c r="F37" s="266"/>
      <c r="G37" s="266"/>
      <c r="H37" s="266"/>
      <c r="I37" s="266"/>
      <c r="J37" s="108"/>
    </row>
    <row r="38" spans="1:10" ht="12.75">
      <c r="A38" s="518"/>
      <c r="B38" s="514"/>
      <c r="C38" s="514"/>
      <c r="D38" s="514"/>
      <c r="E38" s="266"/>
      <c r="F38" s="266"/>
      <c r="G38" s="266"/>
      <c r="H38" s="266"/>
      <c r="I38" s="266"/>
      <c r="J38" s="108"/>
    </row>
    <row r="39" spans="1:10" ht="13.5" thickBot="1">
      <c r="A39" s="519"/>
      <c r="B39" s="515"/>
      <c r="C39" s="515"/>
      <c r="D39" s="515"/>
      <c r="E39" s="267"/>
      <c r="F39" s="267"/>
      <c r="G39" s="267"/>
      <c r="H39" s="267"/>
      <c r="I39" s="267"/>
      <c r="J39" s="109"/>
    </row>
    <row r="40" spans="1:10" ht="12.75">
      <c r="A40" s="517"/>
      <c r="B40" s="513"/>
      <c r="C40" s="513"/>
      <c r="D40" s="516" t="s">
        <v>193</v>
      </c>
      <c r="E40" s="265"/>
      <c r="F40" s="265"/>
      <c r="G40" s="265"/>
      <c r="H40" s="265"/>
      <c r="I40" s="265"/>
      <c r="J40" s="107"/>
    </row>
    <row r="41" spans="1:10" ht="12.75">
      <c r="A41" s="518"/>
      <c r="B41" s="514"/>
      <c r="C41" s="514"/>
      <c r="D41" s="514"/>
      <c r="E41" s="266"/>
      <c r="F41" s="266"/>
      <c r="G41" s="266"/>
      <c r="H41" s="266"/>
      <c r="I41" s="266"/>
      <c r="J41" s="108"/>
    </row>
    <row r="42" spans="1:10" ht="12.75">
      <c r="A42" s="518"/>
      <c r="B42" s="514"/>
      <c r="C42" s="514"/>
      <c r="D42" s="514"/>
      <c r="E42" s="266"/>
      <c r="F42" s="266"/>
      <c r="G42" s="266"/>
      <c r="H42" s="266"/>
      <c r="I42" s="266"/>
      <c r="J42" s="108"/>
    </row>
    <row r="43" spans="1:10" ht="12.75">
      <c r="A43" s="518"/>
      <c r="B43" s="514"/>
      <c r="C43" s="514"/>
      <c r="D43" s="514"/>
      <c r="E43" s="266"/>
      <c r="F43" s="266"/>
      <c r="G43" s="266"/>
      <c r="H43" s="266"/>
      <c r="I43" s="266"/>
      <c r="J43" s="108"/>
    </row>
    <row r="44" spans="1:10" ht="12.75">
      <c r="A44" s="518"/>
      <c r="B44" s="514"/>
      <c r="C44" s="514"/>
      <c r="D44" s="514"/>
      <c r="E44" s="266"/>
      <c r="F44" s="266"/>
      <c r="G44" s="266"/>
      <c r="H44" s="266"/>
      <c r="I44" s="266"/>
      <c r="J44" s="108"/>
    </row>
    <row r="45" spans="1:10" ht="12.75">
      <c r="A45" s="518"/>
      <c r="B45" s="514"/>
      <c r="C45" s="514"/>
      <c r="D45" s="514"/>
      <c r="E45" s="266"/>
      <c r="F45" s="266"/>
      <c r="G45" s="266"/>
      <c r="H45" s="266"/>
      <c r="I45" s="266"/>
      <c r="J45" s="108"/>
    </row>
    <row r="46" spans="1:10" ht="12.75">
      <c r="A46" s="518"/>
      <c r="B46" s="514"/>
      <c r="C46" s="514"/>
      <c r="D46" s="514"/>
      <c r="E46" s="266"/>
      <c r="F46" s="266"/>
      <c r="G46" s="266"/>
      <c r="H46" s="266"/>
      <c r="I46" s="266"/>
      <c r="J46" s="108"/>
    </row>
    <row r="47" spans="1:10" ht="12.75">
      <c r="A47" s="518"/>
      <c r="B47" s="514"/>
      <c r="C47" s="514"/>
      <c r="D47" s="514"/>
      <c r="E47" s="266"/>
      <c r="F47" s="266"/>
      <c r="G47" s="266"/>
      <c r="H47" s="266"/>
      <c r="I47" s="266"/>
      <c r="J47" s="108"/>
    </row>
    <row r="48" spans="1:10" ht="13.5" thickBot="1">
      <c r="A48" s="519"/>
      <c r="B48" s="515"/>
      <c r="C48" s="515"/>
      <c r="D48" s="515"/>
      <c r="E48" s="267"/>
      <c r="F48" s="267"/>
      <c r="G48" s="267"/>
      <c r="H48" s="267"/>
      <c r="I48" s="267"/>
      <c r="J48" s="109"/>
    </row>
    <row r="49" spans="1:10" ht="12.75">
      <c r="A49" s="517"/>
      <c r="B49" s="513"/>
      <c r="C49" s="513"/>
      <c r="D49" s="516" t="s">
        <v>193</v>
      </c>
      <c r="E49" s="265"/>
      <c r="F49" s="265"/>
      <c r="G49" s="265"/>
      <c r="H49" s="265"/>
      <c r="I49" s="265"/>
      <c r="J49" s="107"/>
    </row>
    <row r="50" spans="1:10" ht="12.75">
      <c r="A50" s="518"/>
      <c r="B50" s="514"/>
      <c r="C50" s="514"/>
      <c r="D50" s="514"/>
      <c r="E50" s="266"/>
      <c r="F50" s="266"/>
      <c r="G50" s="266"/>
      <c r="H50" s="266"/>
      <c r="I50" s="266"/>
      <c r="J50" s="108"/>
    </row>
    <row r="51" spans="1:10" ht="12.75">
      <c r="A51" s="518"/>
      <c r="B51" s="514"/>
      <c r="C51" s="514"/>
      <c r="D51" s="514"/>
      <c r="E51" s="266"/>
      <c r="F51" s="266"/>
      <c r="G51" s="266"/>
      <c r="H51" s="266"/>
      <c r="I51" s="266"/>
      <c r="J51" s="108"/>
    </row>
    <row r="52" spans="1:10" ht="12.75">
      <c r="A52" s="518"/>
      <c r="B52" s="514"/>
      <c r="C52" s="514"/>
      <c r="D52" s="514"/>
      <c r="E52" s="266"/>
      <c r="F52" s="266"/>
      <c r="G52" s="266"/>
      <c r="H52" s="266"/>
      <c r="I52" s="266"/>
      <c r="J52" s="108"/>
    </row>
    <row r="53" spans="1:10" ht="12.75">
      <c r="A53" s="518"/>
      <c r="B53" s="514"/>
      <c r="C53" s="514"/>
      <c r="D53" s="514"/>
      <c r="E53" s="266"/>
      <c r="F53" s="266"/>
      <c r="G53" s="266"/>
      <c r="H53" s="266"/>
      <c r="I53" s="266"/>
      <c r="J53" s="108"/>
    </row>
    <row r="54" spans="1:10" ht="12.75">
      <c r="A54" s="518"/>
      <c r="B54" s="514"/>
      <c r="C54" s="514"/>
      <c r="D54" s="514"/>
      <c r="E54" s="266"/>
      <c r="F54" s="266"/>
      <c r="G54" s="266"/>
      <c r="H54" s="266"/>
      <c r="I54" s="266"/>
      <c r="J54" s="108"/>
    </row>
    <row r="55" spans="1:10" ht="12.75">
      <c r="A55" s="518"/>
      <c r="B55" s="514"/>
      <c r="C55" s="514"/>
      <c r="D55" s="514"/>
      <c r="E55" s="266"/>
      <c r="F55" s="266"/>
      <c r="G55" s="266"/>
      <c r="H55" s="266"/>
      <c r="I55" s="266"/>
      <c r="J55" s="108"/>
    </row>
    <row r="56" spans="1:10" ht="12.75">
      <c r="A56" s="518"/>
      <c r="B56" s="514"/>
      <c r="C56" s="514"/>
      <c r="D56" s="514"/>
      <c r="E56" s="266"/>
      <c r="F56" s="266"/>
      <c r="G56" s="266"/>
      <c r="H56" s="266"/>
      <c r="I56" s="266"/>
      <c r="J56" s="108"/>
    </row>
    <row r="57" spans="1:10" ht="13.5" thickBot="1">
      <c r="A57" s="519"/>
      <c r="B57" s="515"/>
      <c r="C57" s="515"/>
      <c r="D57" s="515"/>
      <c r="E57" s="267"/>
      <c r="F57" s="267"/>
      <c r="G57" s="267"/>
      <c r="H57" s="267"/>
      <c r="I57" s="267"/>
      <c r="J57" s="109"/>
    </row>
    <row r="59" spans="1:10" ht="12.75">
      <c r="A59" s="499" t="s">
        <v>220</v>
      </c>
      <c r="B59" s="499"/>
      <c r="C59" s="499"/>
      <c r="D59" s="499"/>
      <c r="E59" s="499"/>
      <c r="F59" s="499"/>
      <c r="G59" s="499"/>
      <c r="H59" s="499"/>
      <c r="I59" s="499"/>
      <c r="J59" s="499"/>
    </row>
  </sheetData>
  <sheetProtection algorithmName="SHA-512" hashValue="xau3RETVDQq3nL7VbkP+d7kcse46TFohsJWrO0yz4itDLIAVHmPoNsq/EGmobX0xc/b/pn6FFcFka68JPqI6sw==" saltValue="7s/kP4yRP0cOZlelvETqwg==" spinCount="100000" sheet="1" objects="1" scenarios="1" selectLockedCells="1"/>
  <mergeCells count="30">
    <mergeCell ref="E1:I3"/>
    <mergeCell ref="A59:J59"/>
    <mergeCell ref="C11:C12"/>
    <mergeCell ref="D11:D12"/>
    <mergeCell ref="D22:D30"/>
    <mergeCell ref="D13:D21"/>
    <mergeCell ref="A13:A21"/>
    <mergeCell ref="B13:B21"/>
    <mergeCell ref="C13:C21"/>
    <mergeCell ref="A22:A30"/>
    <mergeCell ref="B22:B30"/>
    <mergeCell ref="C22:C30"/>
    <mergeCell ref="A31:A39"/>
    <mergeCell ref="B31:B39"/>
    <mergeCell ref="C31:C39"/>
    <mergeCell ref="D31:D39"/>
    <mergeCell ref="A6:I7"/>
    <mergeCell ref="E4:I5"/>
    <mergeCell ref="B9:G9"/>
    <mergeCell ref="E11:I11"/>
    <mergeCell ref="A11:A12"/>
    <mergeCell ref="B11:B12"/>
    <mergeCell ref="B40:B48"/>
    <mergeCell ref="C40:C48"/>
    <mergeCell ref="D40:D48"/>
    <mergeCell ref="A49:A57"/>
    <mergeCell ref="B49:B57"/>
    <mergeCell ref="C49:C57"/>
    <mergeCell ref="D49:D57"/>
    <mergeCell ref="A40:A48"/>
  </mergeCells>
  <conditionalFormatting sqref="E1">
    <cfRule type="containsText" priority="3" dxfId="0" operator="containsText" text="NextGen">
      <formula>NOT(ISERROR(SEARCH("NextGen",E1)))</formula>
    </cfRule>
  </conditionalFormatting>
  <conditionalFormatting sqref="E1:I3">
    <cfRule type="cellIs" priority="1" dxfId="55" operator="equal">
      <formula>"Director eOrder"</formula>
    </cfRule>
    <cfRule type="cellIs" priority="2" dxfId="44" operator="equal">
      <formula>"NextGen eOrder"</formula>
    </cfRule>
  </conditionalFormatting>
  <pageMargins left="0.236220472440945" right="0.236220472440945" top="0.354330708661417" bottom="0.354330708661417" header="0.31496062992126" footer="0.31496062992126"/>
  <pageSetup orientation="portrait" paperSize="9" r:id="rId8"/>
  <drawing r:id="rId6"/>
  <legacyDrawing r:id="rId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9398" r:id="rId1" name="Check Box 6">
              <controlPr defaultSize="0" autoLine="0" autoPict="0">
                <anchor moveWithCells="1">
                  <from>
                    <xdr:col>3</xdr:col>
                    <xdr:colOff>95250</xdr:colOff>
                    <xdr:row>15</xdr:row>
                    <xdr:rowOff>123825</xdr:rowOff>
                  </from>
                  <to>
                    <xdr:col>3</xdr:col>
                    <xdr:colOff>323850</xdr:colOff>
                    <xdr:row>17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399" r:id="rId2" name="Check Box 7">
              <controlPr defaultSize="0" autoLine="0" autoPict="0">
                <anchor moveWithCells="1">
                  <from>
                    <xdr:col>3</xdr:col>
                    <xdr:colOff>104775</xdr:colOff>
                    <xdr:row>24</xdr:row>
                    <xdr:rowOff>123825</xdr:rowOff>
                  </from>
                  <to>
                    <xdr:col>3</xdr:col>
                    <xdr:colOff>333375</xdr:colOff>
                    <xdr:row>26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401" r:id="rId3" name="Check Box 9">
              <controlPr defaultSize="0" autoLine="0" autoPict="0">
                <anchor moveWithCells="1">
                  <from>
                    <xdr:col>3</xdr:col>
                    <xdr:colOff>104775</xdr:colOff>
                    <xdr:row>33</xdr:row>
                    <xdr:rowOff>123825</xdr:rowOff>
                  </from>
                  <to>
                    <xdr:col>3</xdr:col>
                    <xdr:colOff>333375</xdr:colOff>
                    <xdr:row>35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402" r:id="rId4" name="Check Box 10">
              <controlPr defaultSize="0" autoLine="0" autoPict="0">
                <anchor moveWithCells="1">
                  <from>
                    <xdr:col>3</xdr:col>
                    <xdr:colOff>104775</xdr:colOff>
                    <xdr:row>42</xdr:row>
                    <xdr:rowOff>123825</xdr:rowOff>
                  </from>
                  <to>
                    <xdr:col>3</xdr:col>
                    <xdr:colOff>333375</xdr:colOff>
                    <xdr:row>44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403" r:id="rId5" name="Check Box 11">
              <controlPr defaultSize="0" autoLine="0" autoPict="0">
                <anchor moveWithCells="1">
                  <from>
                    <xdr:col>3</xdr:col>
                    <xdr:colOff>104775</xdr:colOff>
                    <xdr:row>51</xdr:row>
                    <xdr:rowOff>123825</xdr:rowOff>
                  </from>
                  <to>
                    <xdr:col>3</xdr:col>
                    <xdr:colOff>333375</xdr:colOff>
                    <xdr:row>53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tabColor rgb="FF00B050"/>
  </sheetPr>
  <dimension ref="A1:L144"/>
  <sheetViews>
    <sheetView showGridLines="0" showRowColHeaders="0" zoomScale="85" zoomScaleNormal="85" workbookViewId="0" topLeftCell="A5">
      <selection pane="topLeft" activeCell="D22" sqref="D22"/>
    </sheetView>
  </sheetViews>
  <sheetFormatPr defaultColWidth="9.140625" defaultRowHeight="15"/>
  <cols>
    <col min="1" max="1" width="15.7142857142857" style="11" customWidth="1"/>
    <col min="2" max="2" width="51.8571428571429" style="11" customWidth="1"/>
    <col min="3" max="3" width="30.4285714285714" style="11" customWidth="1"/>
    <col min="4" max="6" width="15.8571428571429" style="11" customWidth="1"/>
    <col min="7" max="7" width="1.57142857142857" style="11" customWidth="1"/>
    <col min="8" max="8" width="9.14285714285714" style="11"/>
    <col min="9" max="9" width="44.1428571428571" style="11" bestFit="1" customWidth="1"/>
    <col min="10" max="16384" width="9.14285714285714" style="11"/>
  </cols>
  <sheetData>
    <row r="1" spans="1:3" ht="15" hidden="1">
      <c r="A1" s="13" t="s">
        <v>24</v>
      </c>
      <c r="C1" s="14" t="s">
        <v>24</v>
      </c>
    </row>
    <row r="2" spans="1:3" ht="15" hidden="1">
      <c r="A2" s="13" t="s">
        <v>15</v>
      </c>
      <c r="C2" s="11" t="s">
        <v>31</v>
      </c>
    </row>
    <row r="3" spans="1:3" ht="15" hidden="1">
      <c r="A3" s="13" t="s">
        <v>16</v>
      </c>
      <c r="C3" s="11" t="s">
        <v>30</v>
      </c>
    </row>
    <row r="4" ht="15" hidden="1">
      <c r="A4" s="13"/>
    </row>
    <row r="5" spans="1:6" ht="12" customHeight="1">
      <c r="A5" s="234"/>
      <c r="B5" s="234"/>
      <c r="C5" s="234"/>
      <c r="D5" s="531" t="e">
        <f>IF(#REF!="NextGen","NextGen eOrder","Director eOrder")</f>
        <v>#REF!</v>
      </c>
      <c r="E5" s="531"/>
      <c r="F5" s="531"/>
    </row>
    <row r="6" spans="1:6" ht="12" customHeight="1">
      <c r="A6" s="234"/>
      <c r="B6" s="234"/>
      <c r="C6" s="234"/>
      <c r="D6" s="531"/>
      <c r="E6" s="531"/>
      <c r="F6" s="531"/>
    </row>
    <row r="7" spans="1:6" ht="12" customHeight="1">
      <c r="A7" s="234"/>
      <c r="B7" s="234"/>
      <c r="C7" s="234"/>
      <c r="D7" s="531"/>
      <c r="E7" s="531"/>
      <c r="F7" s="531"/>
    </row>
    <row r="8" spans="1:6" ht="12" customHeight="1">
      <c r="A8" s="30"/>
      <c r="B8" s="31"/>
      <c r="C8" s="31"/>
      <c r="D8" s="520" t="s">
        <v>191</v>
      </c>
      <c r="E8" s="520"/>
      <c r="F8" s="520"/>
    </row>
    <row r="9" spans="1:6" ht="12" customHeight="1">
      <c r="A9" s="30"/>
      <c r="B9" s="119"/>
      <c r="C9" s="119"/>
      <c r="D9" s="540"/>
      <c r="E9" s="540"/>
      <c r="F9" s="540"/>
    </row>
    <row r="10" spans="1:6" ht="12" customHeight="1">
      <c r="A10" s="504" t="s">
        <v>194</v>
      </c>
      <c r="B10" s="504"/>
      <c r="C10" s="504"/>
      <c r="D10" s="504"/>
      <c r="E10" s="504"/>
      <c r="F10" s="504"/>
    </row>
    <row r="11" spans="1:6" ht="12" customHeight="1">
      <c r="A11" s="505"/>
      <c r="B11" s="505"/>
      <c r="C11" s="505"/>
      <c r="D11" s="505"/>
      <c r="E11" s="505"/>
      <c r="F11" s="505"/>
    </row>
    <row r="12" ht="15">
      <c r="A12" s="122"/>
    </row>
    <row r="13" ht="15">
      <c r="A13" s="122"/>
    </row>
    <row r="14" ht="15">
      <c r="A14" s="122"/>
    </row>
    <row r="15" ht="15">
      <c r="A15" s="122"/>
    </row>
    <row r="16" ht="15">
      <c r="A16" s="122"/>
    </row>
    <row r="18" ht="15">
      <c r="C18" s="15"/>
    </row>
    <row r="19" spans="1:3" ht="15">
      <c r="A19" s="544"/>
      <c r="B19" s="544"/>
      <c r="C19" s="15"/>
    </row>
    <row r="20" spans="1:6" ht="5.1" customHeight="1">
      <c r="A20" s="120"/>
      <c r="B20" s="120"/>
      <c r="C20" s="120"/>
      <c r="D20" s="120"/>
      <c r="E20" s="120"/>
      <c r="F20" s="120"/>
    </row>
    <row r="21" spans="1:8" ht="15" customHeight="1">
      <c r="A21" s="110" t="s">
        <v>20</v>
      </c>
      <c r="B21" s="159"/>
      <c r="C21" s="123"/>
      <c r="D21" s="123"/>
      <c r="E21" s="160" t="s">
        <v>100</v>
      </c>
      <c r="F21" s="124"/>
      <c r="G21" s="12"/>
      <c r="H21" s="12"/>
    </row>
    <row r="22" spans="1:8" ht="15" customHeight="1">
      <c r="A22" s="545" t="s">
        <v>211</v>
      </c>
      <c r="B22" s="545"/>
      <c r="C22" s="545"/>
      <c r="D22" s="115" t="s">
        <v>24</v>
      </c>
      <c r="E22" s="116" t="s">
        <v>24</v>
      </c>
      <c r="F22" s="184"/>
      <c r="G22" s="12"/>
      <c r="H22" s="12"/>
    </row>
    <row r="23" spans="1:8" ht="15" customHeight="1">
      <c r="A23" s="557" t="s">
        <v>32</v>
      </c>
      <c r="B23" s="557"/>
      <c r="C23" s="123"/>
      <c r="D23" s="558" t="s">
        <v>101</v>
      </c>
      <c r="E23" s="558"/>
      <c r="F23" s="559"/>
      <c r="G23" s="12"/>
      <c r="H23" s="12"/>
    </row>
    <row r="24" spans="1:8" ht="15" customHeight="1">
      <c r="A24" s="157" t="s">
        <v>24</v>
      </c>
      <c r="B24" s="125" t="s">
        <v>195</v>
      </c>
      <c r="C24" s="123"/>
      <c r="D24" s="546" t="s">
        <v>212</v>
      </c>
      <c r="E24" s="546"/>
      <c r="F24" s="185"/>
      <c r="G24" s="12"/>
      <c r="H24" s="12"/>
    </row>
    <row r="25" spans="1:8" ht="15" customHeight="1">
      <c r="A25" s="157" t="s">
        <v>24</v>
      </c>
      <c r="B25" s="125" t="s">
        <v>196</v>
      </c>
      <c r="C25" s="123"/>
      <c r="D25" s="547"/>
      <c r="E25" s="548"/>
      <c r="F25" s="124"/>
      <c r="G25" s="12"/>
      <c r="H25" s="12"/>
    </row>
    <row r="26" spans="1:8" ht="15" customHeight="1">
      <c r="A26" s="157" t="s">
        <v>24</v>
      </c>
      <c r="B26" s="125" t="s">
        <v>197</v>
      </c>
      <c r="C26" s="123"/>
      <c r="D26" s="549"/>
      <c r="E26" s="550"/>
      <c r="F26" s="123"/>
      <c r="G26" s="12"/>
      <c r="H26" s="12"/>
    </row>
    <row r="27" spans="1:8" ht="15" customHeight="1">
      <c r="A27" s="157" t="s">
        <v>24</v>
      </c>
      <c r="B27" s="125" t="s">
        <v>198</v>
      </c>
      <c r="C27" s="123"/>
      <c r="D27" s="551"/>
      <c r="E27" s="552"/>
      <c r="F27" s="123"/>
      <c r="H27" s="12"/>
    </row>
    <row r="28" spans="1:8" ht="15" customHeight="1">
      <c r="A28" s="157" t="s">
        <v>24</v>
      </c>
      <c r="B28" s="125" t="s">
        <v>199</v>
      </c>
      <c r="C28" s="123"/>
      <c r="D28" s="127"/>
      <c r="E28" s="126"/>
      <c r="F28" s="123"/>
      <c r="H28" s="12"/>
    </row>
    <row r="29" spans="1:8" ht="15" customHeight="1">
      <c r="A29" s="157" t="s">
        <v>24</v>
      </c>
      <c r="B29" s="125" t="s">
        <v>200</v>
      </c>
      <c r="C29" s="123"/>
      <c r="D29" s="126"/>
      <c r="E29" s="126"/>
      <c r="F29" s="123"/>
      <c r="H29" s="12"/>
    </row>
    <row r="30" spans="1:8" ht="5.1" customHeight="1">
      <c r="A30" s="128"/>
      <c r="B30" s="128"/>
      <c r="C30" s="128"/>
      <c r="D30" s="128"/>
      <c r="E30" s="128"/>
      <c r="F30" s="183"/>
      <c r="H30" s="12"/>
    </row>
    <row r="31" spans="1:8" ht="6.95" customHeight="1">
      <c r="A31" s="186"/>
      <c r="B31" s="186"/>
      <c r="C31" s="186"/>
      <c r="D31" s="186"/>
      <c r="E31" s="186"/>
      <c r="F31" s="186"/>
      <c r="G31" s="16"/>
      <c r="H31" s="12"/>
    </row>
    <row r="32" spans="1:6" s="16" customFormat="1" ht="15">
      <c r="A32" s="192" t="s">
        <v>160</v>
      </c>
      <c r="B32" s="123"/>
      <c r="C32" s="123"/>
      <c r="D32" s="123"/>
      <c r="E32" s="123"/>
      <c r="F32" s="123"/>
    </row>
    <row r="33" spans="1:6" s="16" customFormat="1" ht="5.1" customHeight="1">
      <c r="A33" s="123"/>
      <c r="B33" s="123"/>
      <c r="C33" s="123"/>
      <c r="D33" s="123"/>
      <c r="E33" s="123"/>
      <c r="F33" s="123"/>
    </row>
    <row r="34" spans="1:6" s="16" customFormat="1" ht="24" customHeight="1">
      <c r="A34" s="158" t="s">
        <v>158</v>
      </c>
      <c r="B34" s="189" t="str">
        <f>'General Info INT'!B55</f>
        <v>--Select--</v>
      </c>
      <c r="C34" s="127" t="s">
        <v>103</v>
      </c>
      <c r="D34" s="161">
        <f>'General Info INT'!D57</f>
        <v>0</v>
      </c>
      <c r="E34" s="138" t="s">
        <v>104</v>
      </c>
      <c r="F34" s="123"/>
    </row>
    <row r="35" spans="1:6" s="16" customFormat="1" ht="5.1" customHeight="1">
      <c r="A35" s="144"/>
      <c r="B35" s="144"/>
      <c r="C35" s="144"/>
      <c r="D35" s="144"/>
      <c r="E35" s="144"/>
      <c r="F35" s="123"/>
    </row>
    <row r="36" spans="1:6" s="16" customFormat="1" ht="21" customHeight="1">
      <c r="A36" s="187" t="s">
        <v>213</v>
      </c>
      <c r="B36" s="162">
        <f>'General Info INT'!B57</f>
        <v>0</v>
      </c>
      <c r="C36" s="198" t="s">
        <v>93</v>
      </c>
      <c r="D36" s="555" t="s">
        <v>161</v>
      </c>
      <c r="E36" s="556"/>
      <c r="F36" s="123"/>
    </row>
    <row r="37" spans="1:6" s="16" customFormat="1" ht="6.95" customHeight="1">
      <c r="A37" s="188"/>
      <c r="B37" s="188"/>
      <c r="C37" s="188"/>
      <c r="D37" s="188"/>
      <c r="E37" s="188"/>
      <c r="F37" s="128"/>
    </row>
    <row r="38" spans="1:6" ht="8.25" customHeight="1">
      <c r="A38" s="123"/>
      <c r="B38" s="123"/>
      <c r="C38" s="123"/>
      <c r="D38" s="123"/>
      <c r="E38" s="123"/>
      <c r="F38" s="123"/>
    </row>
    <row r="39" spans="1:6" s="12" customFormat="1" ht="15.75" customHeight="1">
      <c r="A39" s="20" t="s">
        <v>33</v>
      </c>
      <c r="B39" s="124"/>
      <c r="C39" s="124"/>
      <c r="D39" s="541" t="s">
        <v>55</v>
      </c>
      <c r="E39" s="130"/>
      <c r="F39" s="124"/>
    </row>
    <row r="40" spans="1:6" s="18" customFormat="1" ht="15">
      <c r="A40" s="193" t="s">
        <v>5</v>
      </c>
      <c r="B40" s="193" t="s">
        <v>8</v>
      </c>
      <c r="C40" s="193" t="s">
        <v>14</v>
      </c>
      <c r="D40" s="542"/>
      <c r="E40" s="193" t="s">
        <v>107</v>
      </c>
      <c r="F40" s="131"/>
    </row>
    <row r="41" spans="1:6" s="12" customFormat="1" ht="24">
      <c r="A41" s="132"/>
      <c r="B41" s="133" t="s">
        <v>201</v>
      </c>
      <c r="C41" s="134">
        <v>10001937</v>
      </c>
      <c r="D41" s="154">
        <v>665</v>
      </c>
      <c r="E41" s="163">
        <f>A41*D41</f>
        <v>0</v>
      </c>
      <c r="F41" s="124"/>
    </row>
    <row r="42" spans="1:6" s="12" customFormat="1" ht="24">
      <c r="A42" s="132"/>
      <c r="B42" s="133" t="s">
        <v>202</v>
      </c>
      <c r="C42" s="135" t="s">
        <v>122</v>
      </c>
      <c r="D42" s="154">
        <v>1390</v>
      </c>
      <c r="E42" s="163">
        <f>A42*D42</f>
        <v>0</v>
      </c>
      <c r="F42" s="124"/>
    </row>
    <row r="43" spans="1:6" s="12" customFormat="1" ht="24">
      <c r="A43" s="132"/>
      <c r="B43" s="133" t="s">
        <v>203</v>
      </c>
      <c r="C43" s="135" t="s">
        <v>123</v>
      </c>
      <c r="D43" s="154">
        <v>2215</v>
      </c>
      <c r="E43" s="163">
        <f>A43*D43</f>
        <v>0</v>
      </c>
      <c r="F43" s="124"/>
    </row>
    <row r="44" spans="1:6" s="12" customFormat="1" ht="24">
      <c r="A44" s="132"/>
      <c r="B44" s="133" t="s">
        <v>204</v>
      </c>
      <c r="C44" s="135" t="s">
        <v>123</v>
      </c>
      <c r="D44" s="154">
        <v>2215</v>
      </c>
      <c r="E44" s="163">
        <f>A44*D44</f>
        <v>0</v>
      </c>
      <c r="F44" s="124"/>
    </row>
    <row r="45" spans="1:6" s="12" customFormat="1" ht="24">
      <c r="A45" s="132"/>
      <c r="B45" s="133" t="s">
        <v>205</v>
      </c>
      <c r="C45" s="135" t="s">
        <v>124</v>
      </c>
      <c r="D45" s="154">
        <v>1611</v>
      </c>
      <c r="E45" s="163">
        <f>A45*D45</f>
        <v>0</v>
      </c>
      <c r="F45" s="124"/>
    </row>
    <row r="46" spans="1:6" s="12" customFormat="1" ht="24">
      <c r="A46" s="132"/>
      <c r="B46" s="133" t="s">
        <v>206</v>
      </c>
      <c r="C46" s="135" t="s">
        <v>127</v>
      </c>
      <c r="D46" s="154">
        <v>1835</v>
      </c>
      <c r="E46" s="163">
        <f>A46*D46</f>
        <v>0</v>
      </c>
      <c r="F46" s="124"/>
    </row>
    <row r="47" spans="1:6" s="12" customFormat="1" ht="24">
      <c r="A47" s="132"/>
      <c r="B47" s="133" t="s">
        <v>207</v>
      </c>
      <c r="C47" s="135" t="s">
        <v>127</v>
      </c>
      <c r="D47" s="154">
        <v>1835</v>
      </c>
      <c r="E47" s="163">
        <f>A47*D47</f>
        <v>0</v>
      </c>
      <c r="F47" s="124"/>
    </row>
    <row r="48" spans="1:6" s="12" customFormat="1" ht="24">
      <c r="A48" s="132"/>
      <c r="B48" s="133" t="s">
        <v>208</v>
      </c>
      <c r="C48" s="134">
        <v>10001828</v>
      </c>
      <c r="D48" s="154">
        <v>1231</v>
      </c>
      <c r="E48" s="163">
        <f>A48*D48</f>
        <v>0</v>
      </c>
      <c r="F48" s="124"/>
    </row>
    <row r="49" spans="1:6" s="12" customFormat="1" ht="12" customHeight="1">
      <c r="A49" s="132"/>
      <c r="B49" s="133" t="s">
        <v>54</v>
      </c>
      <c r="C49" s="134">
        <v>10001352</v>
      </c>
      <c r="D49" s="254">
        <v>980</v>
      </c>
      <c r="E49" s="163">
        <f>A49*D49</f>
        <v>0</v>
      </c>
      <c r="F49" s="124"/>
    </row>
    <row r="50" spans="1:6" s="12" customFormat="1" ht="12" customHeight="1">
      <c r="A50" s="132"/>
      <c r="B50" s="133" t="s">
        <v>45</v>
      </c>
      <c r="C50" s="134">
        <v>10001370</v>
      </c>
      <c r="D50" s="254">
        <v>495</v>
      </c>
      <c r="E50" s="163">
        <f>A50*D50</f>
        <v>0</v>
      </c>
      <c r="F50" s="124"/>
    </row>
    <row r="51" spans="1:6" s="12" customFormat="1" ht="12" customHeight="1">
      <c r="A51" s="132"/>
      <c r="B51" s="133" t="s">
        <v>49</v>
      </c>
      <c r="C51" s="134">
        <v>10001340</v>
      </c>
      <c r="D51" s="254">
        <v>530</v>
      </c>
      <c r="E51" s="163">
        <f>A51*D51</f>
        <v>0</v>
      </c>
      <c r="F51" s="124"/>
    </row>
    <row r="52" spans="1:6" s="12" customFormat="1" ht="12" customHeight="1">
      <c r="A52" s="132"/>
      <c r="B52" s="133" t="s">
        <v>46</v>
      </c>
      <c r="C52" s="134">
        <v>10001371</v>
      </c>
      <c r="D52" s="254">
        <v>595</v>
      </c>
      <c r="E52" s="163">
        <f>A52*D52</f>
        <v>0</v>
      </c>
      <c r="F52" s="124"/>
    </row>
    <row r="53" spans="1:6" s="12" customFormat="1" ht="12" customHeight="1">
      <c r="A53" s="132"/>
      <c r="B53" s="133" t="s">
        <v>105</v>
      </c>
      <c r="C53" s="134">
        <v>10001608</v>
      </c>
      <c r="D53" s="254">
        <v>980</v>
      </c>
      <c r="E53" s="163">
        <f>A53*D53</f>
        <v>0</v>
      </c>
      <c r="F53" s="124"/>
    </row>
    <row r="54" spans="1:6" s="12" customFormat="1" ht="12" customHeight="1">
      <c r="A54" s="132"/>
      <c r="B54" s="133" t="s">
        <v>28</v>
      </c>
      <c r="C54" s="134">
        <v>10001891</v>
      </c>
      <c r="D54" s="254">
        <v>699</v>
      </c>
      <c r="E54" s="163">
        <f>A54*D54</f>
        <v>0</v>
      </c>
      <c r="F54" s="124"/>
    </row>
    <row r="55" spans="1:6" s="12" customFormat="1" ht="12" customHeight="1">
      <c r="A55" s="132"/>
      <c r="B55" s="133" t="s">
        <v>17</v>
      </c>
      <c r="C55" s="134">
        <v>10001270</v>
      </c>
      <c r="D55" s="254">
        <v>346.50</v>
      </c>
      <c r="E55" s="163">
        <f>A55*D55</f>
        <v>0</v>
      </c>
      <c r="F55" s="124"/>
    </row>
    <row r="56" spans="1:6" s="12" customFormat="1" ht="12" customHeight="1">
      <c r="A56" s="132"/>
      <c r="B56" s="133" t="s">
        <v>21</v>
      </c>
      <c r="C56" s="134">
        <v>10001183</v>
      </c>
      <c r="D56" s="254">
        <v>1160</v>
      </c>
      <c r="E56" s="163">
        <f>A56*D56</f>
        <v>0</v>
      </c>
      <c r="F56" s="124"/>
    </row>
    <row r="57" spans="1:12" s="12" customFormat="1" ht="12" customHeight="1">
      <c r="A57" s="132"/>
      <c r="B57" s="133" t="s">
        <v>18</v>
      </c>
      <c r="C57" s="134">
        <v>10001276</v>
      </c>
      <c r="D57" s="254">
        <v>395</v>
      </c>
      <c r="E57" s="163">
        <f>A57*D57</f>
        <v>0</v>
      </c>
      <c r="F57" s="124"/>
      <c r="I57" s="16"/>
      <c r="J57" s="16"/>
      <c r="K57" s="16"/>
      <c r="L57" s="16"/>
    </row>
    <row r="58" spans="1:12" s="19" customFormat="1" ht="12" customHeight="1">
      <c r="A58" s="194"/>
      <c r="B58" s="133" t="s">
        <v>22</v>
      </c>
      <c r="C58" s="164" t="s">
        <v>51</v>
      </c>
      <c r="D58" s="254">
        <v>372</v>
      </c>
      <c r="E58" s="165">
        <f>A58*D58</f>
        <v>0</v>
      </c>
      <c r="F58" s="190"/>
      <c r="I58" s="17"/>
      <c r="J58" s="17"/>
      <c r="K58" s="17"/>
      <c r="L58" s="17"/>
    </row>
    <row r="59" spans="1:12" s="12" customFormat="1" ht="12" customHeight="1">
      <c r="A59" s="132"/>
      <c r="B59" s="133" t="s">
        <v>34</v>
      </c>
      <c r="C59" s="134">
        <v>10001433</v>
      </c>
      <c r="D59" s="254">
        <v>475</v>
      </c>
      <c r="E59" s="163">
        <f>A59*D59</f>
        <v>0</v>
      </c>
      <c r="F59" s="124"/>
      <c r="I59" s="16"/>
      <c r="J59" s="16"/>
      <c r="K59" s="16"/>
      <c r="L59" s="16"/>
    </row>
    <row r="60" spans="1:12" s="12" customFormat="1" ht="12" customHeight="1">
      <c r="A60" s="132"/>
      <c r="B60" s="133" t="s">
        <v>35</v>
      </c>
      <c r="C60" s="134">
        <v>10001434</v>
      </c>
      <c r="D60" s="254">
        <v>575</v>
      </c>
      <c r="E60" s="163">
        <f>A60*D60</f>
        <v>0</v>
      </c>
      <c r="F60" s="124"/>
      <c r="I60" s="16"/>
      <c r="J60" s="16"/>
      <c r="K60" s="16"/>
      <c r="L60" s="16"/>
    </row>
    <row r="61" spans="1:12" s="12" customFormat="1" ht="12" customHeight="1">
      <c r="A61" s="132"/>
      <c r="B61" s="133" t="s">
        <v>50</v>
      </c>
      <c r="C61" s="134">
        <v>10001332</v>
      </c>
      <c r="D61" s="254">
        <v>525</v>
      </c>
      <c r="E61" s="163">
        <f>A61*D61</f>
        <v>0</v>
      </c>
      <c r="F61" s="124"/>
      <c r="I61" s="16"/>
      <c r="J61" s="16"/>
      <c r="K61" s="16"/>
      <c r="L61" s="16"/>
    </row>
    <row r="62" spans="1:12" s="12" customFormat="1" ht="12" customHeight="1">
      <c r="A62" s="136" t="str">
        <f>IF($E$22="ConEx 10-Way I/O cable",SUM($A$42:$A$45,$A$49:$A$52),"0")</f>
        <v>0</v>
      </c>
      <c r="B62" s="133" t="s">
        <v>31</v>
      </c>
      <c r="C62" s="134">
        <v>10001293</v>
      </c>
      <c r="D62" s="154">
        <v>0</v>
      </c>
      <c r="E62" s="166">
        <f>A62*D62</f>
        <v>0</v>
      </c>
      <c r="F62" s="124"/>
      <c r="I62" s="16"/>
      <c r="J62" s="16"/>
      <c r="K62" s="16"/>
      <c r="L62" s="16"/>
    </row>
    <row r="63" spans="1:12" s="12" customFormat="1" ht="12" customHeight="1">
      <c r="A63" s="136" t="str">
        <f>IF($E$22="ConEx 8-Way cable",SUM($A$42:$A$45,$A$49:$A$52),"0")</f>
        <v>0</v>
      </c>
      <c r="B63" s="133" t="s">
        <v>30</v>
      </c>
      <c r="C63" s="134">
        <v>10001294</v>
      </c>
      <c r="D63" s="154">
        <v>0</v>
      </c>
      <c r="E63" s="166">
        <f>A63*D63</f>
        <v>0</v>
      </c>
      <c r="F63" s="124"/>
      <c r="I63" s="16"/>
      <c r="J63" s="16"/>
      <c r="K63" s="16"/>
      <c r="L63" s="16"/>
    </row>
    <row r="64" spans="1:12" s="12" customFormat="1" ht="12" customHeight="1">
      <c r="A64" s="137" t="s">
        <v>37</v>
      </c>
      <c r="B64" s="138"/>
      <c r="C64" s="138"/>
      <c r="D64" s="139"/>
      <c r="E64" s="167"/>
      <c r="F64" s="124"/>
      <c r="I64" s="16"/>
      <c r="J64" s="16"/>
      <c r="K64" s="16"/>
      <c r="L64" s="16"/>
    </row>
    <row r="65" spans="1:12" s="12" customFormat="1" ht="12" customHeight="1">
      <c r="A65" s="124"/>
      <c r="B65" s="126"/>
      <c r="C65" s="126"/>
      <c r="D65" s="140" t="s">
        <v>71</v>
      </c>
      <c r="E65" s="168">
        <f>SUM(E41:E63)</f>
        <v>0</v>
      </c>
      <c r="F65" s="124"/>
      <c r="I65" s="16"/>
      <c r="J65" s="16"/>
      <c r="K65" s="16"/>
      <c r="L65" s="16"/>
    </row>
    <row r="66" spans="1:12" ht="12" customHeight="1">
      <c r="A66" s="15" t="s">
        <v>38</v>
      </c>
      <c r="B66" s="123"/>
      <c r="C66" s="123"/>
      <c r="D66" s="123"/>
      <c r="E66" s="123"/>
      <c r="F66" s="123"/>
      <c r="I66" s="16"/>
      <c r="J66" s="16"/>
      <c r="K66" s="16"/>
      <c r="L66" s="16"/>
    </row>
    <row r="67" spans="1:12" s="15" customFormat="1" ht="12" customHeight="1">
      <c r="A67" s="193" t="s">
        <v>5</v>
      </c>
      <c r="B67" s="193" t="s">
        <v>8</v>
      </c>
      <c r="C67" s="193" t="s">
        <v>14</v>
      </c>
      <c r="D67" s="201" t="s">
        <v>65</v>
      </c>
      <c r="E67" s="193" t="s">
        <v>107</v>
      </c>
      <c r="F67" s="199"/>
      <c r="I67" s="200"/>
      <c r="J67" s="200"/>
      <c r="K67" s="200"/>
      <c r="L67" s="200"/>
    </row>
    <row r="68" spans="1:12" ht="12" customHeight="1">
      <c r="A68" s="169">
        <f>$A$41</f>
        <v>0</v>
      </c>
      <c r="B68" s="170" t="s">
        <v>56</v>
      </c>
      <c r="C68" s="142">
        <v>90000283</v>
      </c>
      <c r="D68" s="253">
        <v>40</v>
      </c>
      <c r="E68" s="171">
        <f>D68*A68</f>
        <v>0</v>
      </c>
      <c r="F68" s="123"/>
      <c r="I68" s="16"/>
      <c r="J68" s="16"/>
      <c r="K68" s="16"/>
      <c r="L68" s="16"/>
    </row>
    <row r="69" spans="1:12" ht="12" customHeight="1">
      <c r="A69" s="136">
        <f>$A$42</f>
        <v>0</v>
      </c>
      <c r="B69" s="133" t="s">
        <v>57</v>
      </c>
      <c r="C69" s="134">
        <v>90000284</v>
      </c>
      <c r="D69" s="252">
        <v>70</v>
      </c>
      <c r="E69" s="163">
        <f>D69*A69</f>
        <v>0</v>
      </c>
      <c r="F69" s="123"/>
      <c r="I69" s="16"/>
      <c r="J69" s="16"/>
      <c r="K69" s="16"/>
      <c r="L69" s="16"/>
    </row>
    <row r="70" spans="1:12" ht="12" customHeight="1">
      <c r="A70" s="136">
        <f>$A$43</f>
        <v>0</v>
      </c>
      <c r="B70" s="133" t="s">
        <v>58</v>
      </c>
      <c r="C70" s="134">
        <v>90000286</v>
      </c>
      <c r="D70" s="252">
        <v>182</v>
      </c>
      <c r="E70" s="163">
        <f>D70*A70</f>
        <v>0</v>
      </c>
      <c r="F70" s="123"/>
      <c r="I70" s="16"/>
      <c r="J70" s="16"/>
      <c r="K70" s="16"/>
      <c r="L70" s="16"/>
    </row>
    <row r="71" spans="1:6" s="12" customFormat="1" ht="12" customHeight="1">
      <c r="A71" s="136">
        <f>$A$44</f>
        <v>0</v>
      </c>
      <c r="B71" s="133" t="s">
        <v>59</v>
      </c>
      <c r="C71" s="134">
        <v>90000287</v>
      </c>
      <c r="D71" s="252">
        <v>211</v>
      </c>
      <c r="E71" s="163">
        <f>D71*A71</f>
        <v>0</v>
      </c>
      <c r="F71" s="131"/>
    </row>
    <row r="72" spans="1:6" s="12" customFormat="1" ht="12" customHeight="1">
      <c r="A72" s="136">
        <f>$A$45</f>
        <v>0</v>
      </c>
      <c r="B72" s="133" t="s">
        <v>60</v>
      </c>
      <c r="C72" s="134">
        <v>90000290</v>
      </c>
      <c r="D72" s="252">
        <v>182</v>
      </c>
      <c r="E72" s="163">
        <f>D72*A72</f>
        <v>0</v>
      </c>
      <c r="F72" s="124"/>
    </row>
    <row r="73" spans="1:6" s="12" customFormat="1" ht="12" customHeight="1">
      <c r="A73" s="136">
        <f>$A$46</f>
        <v>0</v>
      </c>
      <c r="B73" s="133" t="s">
        <v>61</v>
      </c>
      <c r="C73" s="134">
        <v>90000288</v>
      </c>
      <c r="D73" s="252">
        <v>152</v>
      </c>
      <c r="E73" s="163">
        <f>D73*A73</f>
        <v>0</v>
      </c>
      <c r="F73" s="124"/>
    </row>
    <row r="74" spans="1:6" ht="12" customHeight="1">
      <c r="A74" s="136">
        <f>$A$47</f>
        <v>0</v>
      </c>
      <c r="B74" s="133" t="s">
        <v>62</v>
      </c>
      <c r="C74" s="134">
        <v>90000289</v>
      </c>
      <c r="D74" s="252">
        <v>181</v>
      </c>
      <c r="E74" s="163">
        <f>D74*A74</f>
        <v>0</v>
      </c>
      <c r="F74" s="124"/>
    </row>
    <row r="75" spans="1:6" ht="12" customHeight="1">
      <c r="A75" s="136">
        <f>$A$48</f>
        <v>0</v>
      </c>
      <c r="B75" s="133" t="s">
        <v>63</v>
      </c>
      <c r="C75" s="134">
        <v>90000291</v>
      </c>
      <c r="D75" s="252">
        <v>152</v>
      </c>
      <c r="E75" s="163">
        <f>D75*A75</f>
        <v>0</v>
      </c>
      <c r="F75" s="124"/>
    </row>
    <row r="76" spans="1:6" s="12" customFormat="1" ht="12" customHeight="1">
      <c r="A76" s="136">
        <f>SUM(A43:A48)</f>
        <v>0</v>
      </c>
      <c r="B76" s="133" t="s">
        <v>64</v>
      </c>
      <c r="C76" s="134">
        <v>90000349</v>
      </c>
      <c r="D76" s="252">
        <v>20</v>
      </c>
      <c r="E76" s="163">
        <f>D76*A76</f>
        <v>0</v>
      </c>
      <c r="F76" s="124"/>
    </row>
    <row r="77" spans="1:6" s="12" customFormat="1" ht="12" customHeight="1">
      <c r="A77" s="156">
        <v>0</v>
      </c>
      <c r="B77" s="133" t="s">
        <v>113</v>
      </c>
      <c r="C77" s="134">
        <v>90000353</v>
      </c>
      <c r="D77" s="252">
        <v>5</v>
      </c>
      <c r="E77" s="163">
        <f>D77*A77</f>
        <v>0</v>
      </c>
      <c r="F77" s="124"/>
    </row>
    <row r="78" spans="1:6" s="12" customFormat="1" ht="12" customHeight="1">
      <c r="A78" s="156">
        <v>0</v>
      </c>
      <c r="B78" s="141" t="s">
        <v>120</v>
      </c>
      <c r="C78" s="134" t="s">
        <v>214</v>
      </c>
      <c r="D78" s="252">
        <v>6</v>
      </c>
      <c r="E78" s="163">
        <f>D78*A78</f>
        <v>0</v>
      </c>
      <c r="F78" s="124"/>
    </row>
    <row r="79" spans="1:6" s="12" customFormat="1" ht="12" customHeight="1">
      <c r="A79" s="156">
        <v>0</v>
      </c>
      <c r="B79" s="133" t="s">
        <v>114</v>
      </c>
      <c r="C79" s="134">
        <v>90000341</v>
      </c>
      <c r="D79" s="252">
        <v>15</v>
      </c>
      <c r="E79" s="163">
        <f>D79*A79</f>
        <v>0</v>
      </c>
      <c r="F79" s="124"/>
    </row>
    <row r="80" spans="1:6" s="12" customFormat="1" ht="12" customHeight="1">
      <c r="A80" s="156">
        <v>0</v>
      </c>
      <c r="B80" s="133" t="s">
        <v>115</v>
      </c>
      <c r="C80" s="134">
        <v>90000362</v>
      </c>
      <c r="D80" s="252">
        <v>15</v>
      </c>
      <c r="E80" s="163">
        <f>D80*A80</f>
        <v>0</v>
      </c>
      <c r="F80" s="124"/>
    </row>
    <row r="81" spans="1:6" s="12" customFormat="1" ht="12" customHeight="1">
      <c r="A81" s="156">
        <v>0</v>
      </c>
      <c r="B81" s="133" t="s">
        <v>116</v>
      </c>
      <c r="C81" s="134">
        <v>90000345</v>
      </c>
      <c r="D81" s="252">
        <v>15</v>
      </c>
      <c r="E81" s="163">
        <f>D81*A81</f>
        <v>0</v>
      </c>
      <c r="F81" s="124"/>
    </row>
    <row r="82" spans="1:6" s="12" customFormat="1" ht="12" customHeight="1">
      <c r="A82" s="156">
        <v>0</v>
      </c>
      <c r="B82" s="133" t="s">
        <v>117</v>
      </c>
      <c r="C82" s="134">
        <v>90000342</v>
      </c>
      <c r="D82" s="252">
        <v>5</v>
      </c>
      <c r="E82" s="163">
        <f>D82*A82</f>
        <v>0</v>
      </c>
      <c r="F82" s="124"/>
    </row>
    <row r="83" spans="1:6" s="12" customFormat="1" ht="12" customHeight="1">
      <c r="A83" s="156">
        <v>0</v>
      </c>
      <c r="B83" s="133" t="s">
        <v>118</v>
      </c>
      <c r="C83" s="134">
        <v>90000372</v>
      </c>
      <c r="D83" s="252">
        <v>5</v>
      </c>
      <c r="E83" s="163">
        <f>D83*A83</f>
        <v>0</v>
      </c>
      <c r="F83" s="124"/>
    </row>
    <row r="84" spans="1:6" s="12" customFormat="1" ht="12" customHeight="1">
      <c r="A84" s="156">
        <v>0</v>
      </c>
      <c r="B84" s="133" t="s">
        <v>119</v>
      </c>
      <c r="C84" s="134">
        <v>90000590</v>
      </c>
      <c r="D84" s="252">
        <v>15</v>
      </c>
      <c r="E84" s="163">
        <f>D84*A84</f>
        <v>0</v>
      </c>
      <c r="F84" s="124"/>
    </row>
    <row r="85" spans="1:6" s="12" customFormat="1" ht="12" customHeight="1">
      <c r="A85" s="156">
        <v>0</v>
      </c>
      <c r="B85" s="133" t="s">
        <v>128</v>
      </c>
      <c r="C85" s="134">
        <v>90000357</v>
      </c>
      <c r="D85" s="252">
        <v>100</v>
      </c>
      <c r="E85" s="163">
        <f>D85*A85</f>
        <v>0</v>
      </c>
      <c r="F85" s="124"/>
    </row>
    <row r="86" spans="1:6" s="12" customFormat="1" ht="12" customHeight="1">
      <c r="A86" s="156">
        <v>0</v>
      </c>
      <c r="B86" s="133" t="s">
        <v>125</v>
      </c>
      <c r="C86" s="134">
        <v>90000358</v>
      </c>
      <c r="D86" s="252">
        <v>25</v>
      </c>
      <c r="E86" s="163">
        <f>D86*A86</f>
        <v>0</v>
      </c>
      <c r="F86" s="124"/>
    </row>
    <row r="87" spans="1:6" s="12" customFormat="1" ht="12" customHeight="1">
      <c r="A87" s="156">
        <v>0</v>
      </c>
      <c r="B87" s="133" t="s">
        <v>129</v>
      </c>
      <c r="C87" s="134">
        <v>90000984</v>
      </c>
      <c r="D87" s="252">
        <v>15</v>
      </c>
      <c r="E87" s="163">
        <f>D87*A87</f>
        <v>0</v>
      </c>
      <c r="F87" s="124"/>
    </row>
    <row r="88" spans="1:6" s="12" customFormat="1" ht="12" customHeight="1">
      <c r="A88" s="156">
        <v>0</v>
      </c>
      <c r="B88" s="133" t="s">
        <v>126</v>
      </c>
      <c r="C88" s="134">
        <v>90000370</v>
      </c>
      <c r="D88" s="252">
        <v>35</v>
      </c>
      <c r="E88" s="163">
        <f>D88*A88</f>
        <v>0</v>
      </c>
      <c r="F88" s="124"/>
    </row>
    <row r="89" spans="1:6" ht="12" customHeight="1">
      <c r="A89" s="156">
        <v>0</v>
      </c>
      <c r="B89" s="133" t="s">
        <v>153</v>
      </c>
      <c r="C89" s="134" t="s">
        <v>154</v>
      </c>
      <c r="D89" s="252">
        <v>0</v>
      </c>
      <c r="E89" s="163">
        <v>0</v>
      </c>
      <c r="F89" s="123"/>
    </row>
    <row r="90" spans="1:6" s="12" customFormat="1" ht="12" customHeight="1">
      <c r="A90" s="172" t="e">
        <f>#REF!</f>
        <v>#REF!</v>
      </c>
      <c r="B90" s="133" t="s">
        <v>25</v>
      </c>
      <c r="C90" s="134">
        <v>90000194</v>
      </c>
      <c r="D90" s="252">
        <v>10</v>
      </c>
      <c r="E90" s="163" t="e">
        <f>D90*A90</f>
        <v>#REF!</v>
      </c>
      <c r="F90" s="124"/>
    </row>
    <row r="91" spans="1:6" s="12" customFormat="1" ht="12" customHeight="1">
      <c r="A91" s="172" t="e">
        <f>#REF!</f>
        <v>#REF!</v>
      </c>
      <c r="B91" s="133" t="s">
        <v>29</v>
      </c>
      <c r="C91" s="134">
        <v>90000212</v>
      </c>
      <c r="D91" s="252">
        <v>10</v>
      </c>
      <c r="E91" s="163" t="e">
        <f>D91*A91</f>
        <v>#REF!</v>
      </c>
      <c r="F91" s="124"/>
    </row>
    <row r="92" spans="1:6" s="12" customFormat="1" ht="12" customHeight="1">
      <c r="A92" s="172" t="e">
        <f>#REF!</f>
        <v>#REF!</v>
      </c>
      <c r="B92" s="133" t="s">
        <v>39</v>
      </c>
      <c r="C92" s="134">
        <v>90000097</v>
      </c>
      <c r="D92" s="252">
        <v>10</v>
      </c>
      <c r="E92" s="163" t="e">
        <f>D92*A92</f>
        <v>#REF!</v>
      </c>
      <c r="F92" s="124"/>
    </row>
    <row r="93" spans="1:6" s="12" customFormat="1" ht="12" customHeight="1">
      <c r="A93" s="172" t="e">
        <f>#REF!</f>
        <v>#REF!</v>
      </c>
      <c r="B93" s="141" t="s">
        <v>106</v>
      </c>
      <c r="C93" s="134">
        <v>90000191</v>
      </c>
      <c r="D93" s="252">
        <v>5</v>
      </c>
      <c r="E93" s="163" t="e">
        <f>D93*A93</f>
        <v>#REF!</v>
      </c>
      <c r="F93" s="124"/>
    </row>
    <row r="94" spans="1:6" s="12" customFormat="1" ht="12" customHeight="1">
      <c r="A94" s="268" t="e">
        <f>#REF!</f>
        <v>#REF!</v>
      </c>
      <c r="B94" s="269" t="s">
        <v>40</v>
      </c>
      <c r="C94" s="134">
        <v>90000190</v>
      </c>
      <c r="D94" s="252">
        <v>20</v>
      </c>
      <c r="E94" s="163" t="e">
        <f>D94*A94</f>
        <v>#REF!</v>
      </c>
      <c r="F94" s="124"/>
    </row>
    <row r="95" spans="1:6" s="12" customFormat="1" ht="12" customHeight="1">
      <c r="A95" s="173"/>
      <c r="B95" s="143"/>
      <c r="C95" s="144"/>
      <c r="D95" s="203"/>
      <c r="E95" s="203"/>
      <c r="F95" s="124"/>
    </row>
    <row r="96" spans="1:6" ht="12" customHeight="1">
      <c r="A96" s="124"/>
      <c r="B96" s="124"/>
      <c r="C96" s="174"/>
      <c r="D96" s="140" t="s">
        <v>70</v>
      </c>
      <c r="E96" s="175" t="e">
        <f>SUM(E68:E94)</f>
        <v>#REF!</v>
      </c>
      <c r="F96" s="124"/>
    </row>
    <row r="97" spans="1:6" ht="14.45" customHeight="1">
      <c r="A97" s="553" t="s">
        <v>156</v>
      </c>
      <c r="B97" s="554"/>
      <c r="C97" s="174"/>
      <c r="D97" s="140"/>
      <c r="E97" s="140"/>
      <c r="F97" s="124"/>
    </row>
    <row r="98" spans="1:6" ht="12" customHeight="1">
      <c r="A98" s="172" t="e">
        <f>#REF!</f>
        <v>#REF!</v>
      </c>
      <c r="B98" s="133" t="s">
        <v>139</v>
      </c>
      <c r="C98" s="134">
        <v>90000323</v>
      </c>
      <c r="D98" s="252">
        <v>400</v>
      </c>
      <c r="E98" s="166" t="e">
        <f>A98*D98</f>
        <v>#REF!</v>
      </c>
      <c r="F98" s="124"/>
    </row>
    <row r="99" spans="1:6" ht="12" customHeight="1">
      <c r="A99" s="172" t="e">
        <f>#REF!</f>
        <v>#REF!</v>
      </c>
      <c r="B99" s="133" t="s">
        <v>140</v>
      </c>
      <c r="C99" s="134">
        <v>90000324</v>
      </c>
      <c r="D99" s="252">
        <v>200</v>
      </c>
      <c r="E99" s="163" t="e">
        <f>D99*A99</f>
        <v>#REF!</v>
      </c>
      <c r="F99" s="124"/>
    </row>
    <row r="100" spans="1:6" ht="12" customHeight="1">
      <c r="A100" s="172" t="e">
        <f>#REF!</f>
        <v>#REF!</v>
      </c>
      <c r="B100" s="133" t="s">
        <v>141</v>
      </c>
      <c r="C100" s="134">
        <v>90000325</v>
      </c>
      <c r="D100" s="252">
        <v>200</v>
      </c>
      <c r="E100" s="163" t="e">
        <f>D100*A100</f>
        <v>#REF!</v>
      </c>
      <c r="F100" s="124"/>
    </row>
    <row r="101" spans="1:6" ht="12" customHeight="1">
      <c r="A101" s="172" t="e">
        <f>#REF!</f>
        <v>#REF!</v>
      </c>
      <c r="B101" s="133" t="s">
        <v>142</v>
      </c>
      <c r="C101" s="134">
        <v>90000326</v>
      </c>
      <c r="D101" s="252">
        <v>200</v>
      </c>
      <c r="E101" s="163" t="e">
        <f>D101*A101</f>
        <v>#REF!</v>
      </c>
      <c r="F101" s="124"/>
    </row>
    <row r="102" spans="1:6" ht="12" customHeight="1">
      <c r="A102" s="172" t="e">
        <f>#REF!</f>
        <v>#REF!</v>
      </c>
      <c r="B102" s="133" t="s">
        <v>143</v>
      </c>
      <c r="C102" s="134">
        <v>90000327</v>
      </c>
      <c r="D102" s="252">
        <v>300</v>
      </c>
      <c r="E102" s="163" t="e">
        <f>D102*A102</f>
        <v>#REF!</v>
      </c>
      <c r="F102" s="124"/>
    </row>
    <row r="103" spans="1:6" ht="12" customHeight="1">
      <c r="A103" s="172" t="e">
        <f>#REF!</f>
        <v>#REF!</v>
      </c>
      <c r="B103" s="133" t="s">
        <v>144</v>
      </c>
      <c r="C103" s="134">
        <v>90000328</v>
      </c>
      <c r="D103" s="252">
        <v>80</v>
      </c>
      <c r="E103" s="163" t="e">
        <f>D103*A103</f>
        <v>#REF!</v>
      </c>
      <c r="F103" s="124"/>
    </row>
    <row r="104" spans="1:6" ht="12" customHeight="1">
      <c r="A104" s="172" t="e">
        <f>#REF!</f>
        <v>#REF!</v>
      </c>
      <c r="B104" s="133" t="s">
        <v>145</v>
      </c>
      <c r="C104" s="134">
        <v>90000329</v>
      </c>
      <c r="D104" s="252">
        <v>120</v>
      </c>
      <c r="E104" s="163" t="e">
        <f>D104*A104</f>
        <v>#REF!</v>
      </c>
      <c r="F104" s="124"/>
    </row>
    <row r="105" spans="1:6" ht="12" customHeight="1">
      <c r="A105" s="172" t="e">
        <f>#REF!</f>
        <v>#REF!</v>
      </c>
      <c r="B105" s="133" t="s">
        <v>146</v>
      </c>
      <c r="C105" s="134">
        <v>90000330</v>
      </c>
      <c r="D105" s="252">
        <v>0</v>
      </c>
      <c r="E105" s="163" t="e">
        <f>D105*A105</f>
        <v>#REF!</v>
      </c>
      <c r="F105" s="124"/>
    </row>
    <row r="106" spans="1:6" ht="12" customHeight="1">
      <c r="A106" s="172" t="e">
        <f>#REF!</f>
        <v>#REF!</v>
      </c>
      <c r="B106" s="133" t="s">
        <v>147</v>
      </c>
      <c r="C106" s="134">
        <v>90000331</v>
      </c>
      <c r="D106" s="252">
        <v>0</v>
      </c>
      <c r="E106" s="163" t="e">
        <f>D106*A106</f>
        <v>#REF!</v>
      </c>
      <c r="F106" s="124"/>
    </row>
    <row r="107" spans="1:6" ht="12" customHeight="1">
      <c r="A107" s="172" t="e">
        <f>#REF!</f>
        <v>#REF!</v>
      </c>
      <c r="B107" s="133" t="s">
        <v>148</v>
      </c>
      <c r="C107" s="134">
        <v>90000332</v>
      </c>
      <c r="D107" s="252">
        <v>300</v>
      </c>
      <c r="E107" s="163" t="e">
        <f>D107*A107</f>
        <v>#REF!</v>
      </c>
      <c r="F107" s="124"/>
    </row>
    <row r="108" spans="1:6" ht="12" customHeight="1">
      <c r="A108" s="172" t="e">
        <f>#REF!</f>
        <v>#REF!</v>
      </c>
      <c r="B108" s="133" t="s">
        <v>149</v>
      </c>
      <c r="C108" s="134">
        <v>90000333</v>
      </c>
      <c r="D108" s="252">
        <v>100</v>
      </c>
      <c r="E108" s="163" t="e">
        <f>D108*A108</f>
        <v>#REF!</v>
      </c>
      <c r="F108" s="124"/>
    </row>
    <row r="109" spans="1:6" ht="12" customHeight="1">
      <c r="A109" s="172" t="e">
        <f>#REF!</f>
        <v>#REF!</v>
      </c>
      <c r="B109" s="133" t="s">
        <v>150</v>
      </c>
      <c r="C109" s="134">
        <v>90000334</v>
      </c>
      <c r="D109" s="252">
        <v>100</v>
      </c>
      <c r="E109" s="163" t="e">
        <f>D109*A109</f>
        <v>#REF!</v>
      </c>
      <c r="F109" s="124"/>
    </row>
    <row r="110" spans="1:6" ht="12" customHeight="1">
      <c r="A110" s="172" t="e">
        <f>#REF!</f>
        <v>#REF!</v>
      </c>
      <c r="B110" s="133" t="s">
        <v>151</v>
      </c>
      <c r="C110" s="134">
        <v>90000335</v>
      </c>
      <c r="D110" s="252">
        <v>80</v>
      </c>
      <c r="E110" s="163" t="e">
        <f>D110*A110</f>
        <v>#REF!</v>
      </c>
      <c r="F110" s="124"/>
    </row>
    <row r="111" spans="1:6" ht="12" customHeight="1">
      <c r="A111" s="172" t="e">
        <f>#REF!</f>
        <v>#REF!</v>
      </c>
      <c r="B111" s="133" t="s">
        <v>152</v>
      </c>
      <c r="C111" s="134">
        <v>90000336</v>
      </c>
      <c r="D111" s="252">
        <v>500</v>
      </c>
      <c r="E111" s="163" t="e">
        <f>D111*A111</f>
        <v>#REF!</v>
      </c>
      <c r="F111" s="124"/>
    </row>
    <row r="112" spans="1:6" ht="12" customHeight="1">
      <c r="A112" s="124"/>
      <c r="B112" s="124"/>
      <c r="C112" s="174"/>
      <c r="D112" s="140" t="s">
        <v>70</v>
      </c>
      <c r="E112" s="175" t="e">
        <f>SUM(E74:E111)</f>
        <v>#REF!</v>
      </c>
      <c r="F112" s="124"/>
    </row>
    <row r="113" spans="1:6" ht="12" customHeight="1">
      <c r="A113" s="15" t="s">
        <v>72</v>
      </c>
      <c r="B113" s="123"/>
      <c r="C113" s="123"/>
      <c r="D113" s="123"/>
      <c r="E113" s="123"/>
      <c r="F113" s="124"/>
    </row>
    <row r="114" spans="1:6" s="15" customFormat="1" ht="12" customHeight="1">
      <c r="A114" s="202" t="s">
        <v>5</v>
      </c>
      <c r="B114" s="202" t="s">
        <v>8</v>
      </c>
      <c r="C114" s="202" t="s">
        <v>14</v>
      </c>
      <c r="D114" s="150" t="s">
        <v>65</v>
      </c>
      <c r="E114" s="202" t="s">
        <v>107</v>
      </c>
      <c r="F114" s="131"/>
    </row>
    <row r="115" spans="1:6" ht="12" customHeight="1">
      <c r="A115" s="132"/>
      <c r="B115" s="146" t="s">
        <v>73</v>
      </c>
      <c r="C115" s="134">
        <v>90000571</v>
      </c>
      <c r="D115" s="196">
        <v>14.95</v>
      </c>
      <c r="E115" s="163">
        <f>D115*A115</f>
        <v>0</v>
      </c>
      <c r="F115" s="124"/>
    </row>
    <row r="116" spans="1:6" ht="12" customHeight="1">
      <c r="A116" s="132"/>
      <c r="B116" s="146" t="s">
        <v>74</v>
      </c>
      <c r="C116" s="134">
        <v>90000572</v>
      </c>
      <c r="D116" s="196">
        <v>14.95</v>
      </c>
      <c r="E116" s="163">
        <f>D116*A116</f>
        <v>0</v>
      </c>
      <c r="F116" s="124"/>
    </row>
    <row r="117" spans="1:6" ht="12" customHeight="1">
      <c r="A117" s="195"/>
      <c r="B117" s="176" t="s">
        <v>75</v>
      </c>
      <c r="C117" s="177">
        <v>90000573</v>
      </c>
      <c r="D117" s="197">
        <v>11</v>
      </c>
      <c r="E117" s="178">
        <f>D117*A117</f>
        <v>0</v>
      </c>
      <c r="F117" s="124"/>
    </row>
    <row r="118" spans="1:6" ht="12" customHeight="1">
      <c r="A118" s="179"/>
      <c r="B118" s="138"/>
      <c r="C118" s="138"/>
      <c r="D118" s="139"/>
      <c r="E118" s="180"/>
      <c r="F118" s="124"/>
    </row>
    <row r="119" spans="1:6" ht="12" customHeight="1">
      <c r="A119" s="124"/>
      <c r="B119" s="124"/>
      <c r="C119" s="124"/>
      <c r="D119" s="140" t="s">
        <v>76</v>
      </c>
      <c r="E119" s="168">
        <f>SUM(E115:E117)</f>
        <v>0</v>
      </c>
      <c r="F119" s="124"/>
    </row>
    <row r="120" spans="1:6" ht="7.5" customHeight="1">
      <c r="A120" s="123"/>
      <c r="B120" s="123"/>
      <c r="C120" s="123"/>
      <c r="D120" s="123"/>
      <c r="E120" s="123"/>
      <c r="F120" s="124"/>
    </row>
    <row r="121" spans="1:6" ht="12" customHeight="1">
      <c r="A121" s="121" t="s">
        <v>41</v>
      </c>
      <c r="B121" s="129"/>
      <c r="C121" s="145"/>
      <c r="D121" s="181"/>
      <c r="E121" s="129"/>
      <c r="F121" s="191"/>
    </row>
    <row r="122" spans="1:6" ht="12" customHeight="1">
      <c r="A122" s="151" t="s">
        <v>77</v>
      </c>
      <c r="B122" s="123"/>
      <c r="C122" s="152" t="b">
        <v>0</v>
      </c>
      <c r="D122" s="149"/>
      <c r="E122" s="123"/>
      <c r="F122" s="124"/>
    </row>
    <row r="123" spans="1:6" ht="12" customHeight="1">
      <c r="A123" s="193" t="s">
        <v>5</v>
      </c>
      <c r="B123" s="193" t="s">
        <v>8</v>
      </c>
      <c r="C123" s="193"/>
      <c r="D123" s="193" t="s">
        <v>67</v>
      </c>
      <c r="E123" s="193" t="s">
        <v>107</v>
      </c>
      <c r="F123" s="123"/>
    </row>
    <row r="124" spans="1:6" ht="12" customHeight="1">
      <c r="A124" s="136" t="str">
        <f>IF(AND($C$122=TRUE,SUM($A$49:$A$52)&lt;=5),SUM($A$49:$A$52),"0")</f>
        <v>0</v>
      </c>
      <c r="B124" s="543" t="s">
        <v>108</v>
      </c>
      <c r="C124" s="543"/>
      <c r="D124" s="154">
        <v>40</v>
      </c>
      <c r="E124" s="163">
        <f>SUM(A124*D124)</f>
        <v>0</v>
      </c>
      <c r="F124" s="123"/>
    </row>
    <row r="125" spans="1:6" ht="12" customHeight="1">
      <c r="A125" s="136" t="str">
        <f>IF(AND($C$122=TRUE,SUM($A$49:$A$52)&gt;=6,SUM($A$49:$A$52)&lt;=10),SUM($A$49:$A$52),"0")</f>
        <v>0</v>
      </c>
      <c r="B125" s="543" t="s">
        <v>109</v>
      </c>
      <c r="C125" s="543"/>
      <c r="D125" s="154">
        <v>30</v>
      </c>
      <c r="E125" s="163">
        <f>SUM(A125*D125)</f>
        <v>0</v>
      </c>
      <c r="F125" s="123"/>
    </row>
    <row r="126" spans="1:6" ht="12" customHeight="1">
      <c r="A126" s="136" t="str">
        <f>IF(AND($C$122=TRUE,SUM($A$49:$A$52)&gt;=11),SUM($A$49:$A$52),"0")</f>
        <v>0</v>
      </c>
      <c r="B126" s="543" t="s">
        <v>110</v>
      </c>
      <c r="C126" s="543"/>
      <c r="D126" s="154">
        <v>20</v>
      </c>
      <c r="E126" s="163">
        <f>SUM(A126*D126)</f>
        <v>0</v>
      </c>
      <c r="F126" s="123"/>
    </row>
    <row r="127" spans="1:6" ht="12" customHeight="1">
      <c r="A127" s="132"/>
      <c r="B127" s="153" t="s">
        <v>209</v>
      </c>
      <c r="C127" s="153"/>
      <c r="D127" s="154">
        <v>75</v>
      </c>
      <c r="E127" s="163">
        <f>SUM(A127*D127)</f>
        <v>0</v>
      </c>
      <c r="F127" s="123"/>
    </row>
    <row r="128" spans="1:6" ht="12" customHeight="1">
      <c r="A128" s="137" t="s">
        <v>210</v>
      </c>
      <c r="B128" s="147"/>
      <c r="C128" s="138"/>
      <c r="D128" s="139"/>
      <c r="E128" s="182"/>
      <c r="F128" s="123"/>
    </row>
    <row r="129" spans="1:6" ht="12" customHeight="1">
      <c r="A129" s="123"/>
      <c r="B129" s="148"/>
      <c r="C129" s="148"/>
      <c r="D129" s="140" t="s">
        <v>78</v>
      </c>
      <c r="E129" s="168">
        <f>SUM(E124:E127)</f>
        <v>0</v>
      </c>
      <c r="F129" s="123"/>
    </row>
    <row r="130" spans="1:6" ht="6.75" customHeight="1">
      <c r="A130" s="128"/>
      <c r="B130" s="128"/>
      <c r="C130" s="128"/>
      <c r="D130" s="128"/>
      <c r="E130" s="128"/>
      <c r="F130" s="128"/>
    </row>
    <row r="131" spans="1:6" ht="14.45" customHeight="1">
      <c r="A131" s="499" t="s">
        <v>220</v>
      </c>
      <c r="B131" s="499"/>
      <c r="C131" s="499"/>
      <c r="D131" s="499"/>
      <c r="E131" s="499"/>
      <c r="F131" s="499"/>
    </row>
    <row r="143" ht="15" hidden="1">
      <c r="A143" s="11" t="s">
        <v>15</v>
      </c>
    </row>
    <row r="144" ht="15" hidden="1">
      <c r="A144" s="11" t="s">
        <v>16</v>
      </c>
    </row>
  </sheetData>
  <sheetProtection algorithmName="SHA-512" hashValue="MMV5glDDKfvVTU+NLnzwXsdfMH1o4uo/53z0Y/+s2Fp8gPNJuLaZETxaKk1oIOOFJt4Ocg4jLW1sFijdhT6KDg==" saltValue="GLupzvjVfKG1rx66Fzxq9g==" spinCount="100000" sheet="1" objects="1" scenarios="1" selectLockedCells="1"/>
  <protectedRanges>
    <protectedRange password="DC2D" sqref="A124:A127" name="Input_1"/>
  </protectedRanges>
  <mergeCells count="16">
    <mergeCell ref="D5:F7"/>
    <mergeCell ref="A131:F131"/>
    <mergeCell ref="A10:F11"/>
    <mergeCell ref="D8:F9"/>
    <mergeCell ref="D39:D40"/>
    <mergeCell ref="B124:C124"/>
    <mergeCell ref="B125:C125"/>
    <mergeCell ref="B126:C126"/>
    <mergeCell ref="A19:B19"/>
    <mergeCell ref="A22:C22"/>
    <mergeCell ref="D24:E24"/>
    <mergeCell ref="D25:E27"/>
    <mergeCell ref="A97:B97"/>
    <mergeCell ref="D36:E36"/>
    <mergeCell ref="A23:B23"/>
    <mergeCell ref="D23:F23"/>
  </mergeCells>
  <conditionalFormatting sqref="A41:A61">
    <cfRule type="cellIs" priority="8" dxfId="92" operator="greaterThan">
      <formula>0</formula>
    </cfRule>
  </conditionalFormatting>
  <conditionalFormatting sqref="A68:A95 A98:A111">
    <cfRule type="cellIs" priority="12" dxfId="92" operator="greaterThan">
      <formula>0</formula>
    </cfRule>
  </conditionalFormatting>
  <conditionalFormatting sqref="A115:A118">
    <cfRule type="cellIs" priority="7" dxfId="92" operator="greaterThan">
      <formula>0</formula>
    </cfRule>
  </conditionalFormatting>
  <conditionalFormatting sqref="A127">
    <cfRule type="cellIs" priority="6" dxfId="92" operator="greaterThan">
      <formula>0</formula>
    </cfRule>
  </conditionalFormatting>
  <conditionalFormatting sqref="D5">
    <cfRule type="containsText" priority="3" dxfId="0" operator="containsText" text="NextGen">
      <formula>NOT(ISERROR(SEARCH("NextGen",D5)))</formula>
    </cfRule>
  </conditionalFormatting>
  <conditionalFormatting sqref="D22">
    <cfRule type="expression" priority="9" dxfId="87">
      <formula>IF(D22="Yes",TRUE)</formula>
    </cfRule>
  </conditionalFormatting>
  <conditionalFormatting sqref="D5:F7">
    <cfRule type="cellIs" priority="1" dxfId="55" operator="equal">
      <formula>"Director eOrder"</formula>
    </cfRule>
    <cfRule type="cellIs" priority="2" dxfId="44" operator="equal">
      <formula>"NextGen eOrder"</formula>
    </cfRule>
  </conditionalFormatting>
  <conditionalFormatting sqref="E22">
    <cfRule type="expression" priority="10" dxfId="87">
      <formula>IF($D$21="Yes",TRUE)</formula>
    </cfRule>
  </conditionalFormatting>
  <dataValidations count="6">
    <dataValidation type="list" allowBlank="1" showInputMessage="1" showErrorMessage="1" sqref="A24:A29">
      <formula1>$A$1:$A$3</formula1>
    </dataValidation>
    <dataValidation type="list" allowBlank="1" showInputMessage="1" showErrorMessage="1" sqref="E22">
      <formula1>$C$1:$C$3</formula1>
    </dataValidation>
    <dataValidation type="list" allowBlank="1" showInputMessage="1" showErrorMessage="1" promptTitle="Choose ConEx Cable" prompt="If 'Yes' is selected, please specify ConEx Cable required in the next field:_x000a_- ConEx 10-Way I/O cable_x000a_- ConEx 8-Way cable" sqref="D22">
      <formula1>$A$1:$A$3</formula1>
    </dataValidation>
    <dataValidation allowBlank="1" showInputMessage="1" showErrorMessage="1" promptTitle="Temperature Monitoring Kit" prompt="10001450 - Temperature Probe x 2 @ $100 ($50 ea)_x000a_10001300 - Temperature Junction Box Assembly x 2 @ $90 ($45 ea)_x000a_10001288 - Door Switch x 1 @ $120_x000a_10001289 - Door Switch Magnet x 1 @ $50_x000a_10001294 - 8-Way I/O ConEx cable x 1 @ $12" sqref="B58"/>
    <dataValidation allowBlank="1" showInputMessage="1" showErrorMessage="1" promptTitle="Temperature Monitoring Kit" prompt="10001450 - Temperature Probe x 2 @ $100 ($50 ea)_x000a_10001300 - Temperature Junction Box Assembly x 2 @ $90 ($45 ea)_x000a_10001288 - Door Switch x 1 @ $120_x000a_10001289 - Door Switch Magnet x 1 @ $50_x000a_10001294 - 8-Way I/O ConEx cable x 1 @ $12_x000a_" sqref="A58"/>
    <dataValidation allowBlank="1" showInputMessage="1" showErrorMessage="1" promptTitle="ConEx Cable Quantity" prompt="If the ConEx Cable quantity required is different from the number of Qubes/QT, please enter additional ConEx Cables in the 'Additional Parts' tab." sqref="A62:A63"/>
  </dataValidations>
  <pageMargins left="0.236220472440945" right="0.236220472440945" top="0.354330708661417" bottom="0.354330708661417" header="0.31496062992126" footer="0.31496062992126"/>
  <pageSetup orientation="landscape" paperSize="9" r:id="rId5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009" r:id="rId2" name="Check Box 1">
              <controlPr defaultSize="0" autoLine="0" linkedCell="C122" autoPict="0">
                <anchor moveWithCells="1">
                  <from>
                    <xdr:col>1</xdr:col>
                    <xdr:colOff>1266825</xdr:colOff>
                    <xdr:row>121</xdr:row>
                    <xdr:rowOff>9525</xdr:rowOff>
                  </from>
                  <to>
                    <xdr:col>1</xdr:col>
                    <xdr:colOff>1771650</xdr:colOff>
                    <xdr:row>122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3B7A-D83B-40BD-B33D-92BF635E7BCB}">
  <dimension ref="A1:K15"/>
  <sheetViews>
    <sheetView showGridLines="0" showRowColHeaders="0" zoomScale="145" zoomScaleNormal="145" workbookViewId="0" topLeftCell="A1">
      <selection pane="topLeft" activeCell="I7" sqref="I7"/>
    </sheetView>
  </sheetViews>
  <sheetFormatPr defaultRowHeight="12.75"/>
  <cols>
    <col min="1" max="1" width="0.857142857142857" customWidth="1"/>
    <col min="2" max="2" width="34.1428571428571" customWidth="1"/>
    <col min="3" max="5" width="1.14285714285714" customWidth="1"/>
    <col min="6" max="7" width="0" hidden="1" customWidth="1"/>
    <col min="8" max="8" width="0" hidden="1" customWidth="1"/>
    <col min="9" max="9" width="94.5714285714286" customWidth="1"/>
    <col min="10" max="11" width="1.71428571428571" customWidth="1"/>
  </cols>
  <sheetData>
    <row r="1" spans="1:11" ht="34.5" customHeight="1">
      <c r="A1" s="476"/>
      <c r="B1" s="477"/>
      <c r="C1" s="478"/>
      <c r="D1" s="478"/>
      <c r="E1" s="478"/>
      <c r="F1" s="478"/>
      <c r="G1" s="478"/>
      <c r="H1" s="478"/>
      <c r="I1" s="479" t="s">
        <v>229</v>
      </c>
      <c r="J1" s="478"/>
      <c r="K1" s="480"/>
    </row>
    <row r="2" spans="1:11" ht="34.5" customHeight="1">
      <c r="A2" s="481"/>
      <c r="B2" s="482"/>
      <c r="C2" s="482"/>
      <c r="D2" s="482"/>
      <c r="E2" s="482"/>
      <c r="F2" s="482"/>
      <c r="G2" s="482"/>
      <c r="H2" s="482"/>
      <c r="I2" s="482"/>
      <c r="J2" s="482"/>
      <c r="K2" s="483"/>
    </row>
    <row r="3" spans="1:11" ht="10.5" customHeight="1">
      <c r="A3" s="481"/>
      <c r="B3" s="482"/>
      <c r="C3" s="482"/>
      <c r="D3" s="482"/>
      <c r="E3" s="482"/>
      <c r="F3" s="482"/>
      <c r="G3" s="482"/>
      <c r="H3" s="482"/>
      <c r="I3" s="482"/>
      <c r="J3" s="482"/>
      <c r="K3" s="483"/>
    </row>
    <row r="4" spans="1:11" ht="10.5" customHeight="1" thickBot="1">
      <c r="A4" s="481"/>
      <c r="B4" s="484"/>
      <c r="C4" s="484"/>
      <c r="D4" s="484"/>
      <c r="E4" s="484"/>
      <c r="F4" s="484"/>
      <c r="G4" s="484"/>
      <c r="H4" s="484"/>
      <c r="I4" s="484"/>
      <c r="J4" s="482"/>
      <c r="K4" s="483"/>
    </row>
    <row r="5" spans="1:11" ht="13.5" thickBot="1">
      <c r="A5" s="481"/>
      <c r="B5" s="485" t="s">
        <v>262</v>
      </c>
      <c r="C5" s="484"/>
      <c r="D5" s="484"/>
      <c r="E5" s="484"/>
      <c r="F5" s="484"/>
      <c r="G5" s="484"/>
      <c r="H5" s="484"/>
      <c r="I5" s="486" t="s">
        <v>16</v>
      </c>
      <c r="J5" s="482"/>
      <c r="K5" s="483"/>
    </row>
    <row r="6" spans="1:11" ht="13.5" thickBot="1">
      <c r="A6" s="481"/>
      <c r="B6" s="485"/>
      <c r="C6" s="484"/>
      <c r="D6" s="484"/>
      <c r="E6" s="484"/>
      <c r="F6" s="484"/>
      <c r="G6" s="484"/>
      <c r="H6" s="484"/>
      <c r="I6" s="484"/>
      <c r="J6" s="482"/>
      <c r="K6" s="483"/>
    </row>
    <row r="7" spans="1:11" ht="13.5" thickBot="1">
      <c r="A7" s="481"/>
      <c r="B7" s="485" t="s">
        <v>230</v>
      </c>
      <c r="C7" s="484"/>
      <c r="D7" s="484"/>
      <c r="E7" s="484"/>
      <c r="F7" s="484"/>
      <c r="G7" s="484"/>
      <c r="H7" s="484"/>
      <c r="I7" s="486" t="s">
        <v>263</v>
      </c>
      <c r="J7" s="482"/>
      <c r="K7" s="483"/>
    </row>
    <row r="8" spans="1:11" ht="13.5" thickBot="1">
      <c r="A8" s="481"/>
      <c r="B8" s="487"/>
      <c r="C8" s="484"/>
      <c r="D8" s="484"/>
      <c r="E8" s="484"/>
      <c r="F8" s="484"/>
      <c r="G8" s="484"/>
      <c r="H8" s="484"/>
      <c r="I8" s="484"/>
      <c r="J8" s="482"/>
      <c r="K8" s="483"/>
    </row>
    <row r="9" spans="1:11" ht="13.5" thickBot="1">
      <c r="A9" s="481"/>
      <c r="B9" s="485" t="s">
        <v>231</v>
      </c>
      <c r="C9" s="484"/>
      <c r="D9" s="484"/>
      <c r="E9" s="484"/>
      <c r="F9" s="484"/>
      <c r="G9" s="484"/>
      <c r="H9" s="484"/>
      <c r="I9" s="488"/>
      <c r="J9" s="482"/>
      <c r="K9" s="483"/>
    </row>
    <row r="10" spans="1:11" ht="13.5" thickBot="1">
      <c r="A10" s="481"/>
      <c r="B10" s="487"/>
      <c r="C10" s="484"/>
      <c r="D10" s="484"/>
      <c r="E10" s="484"/>
      <c r="F10" s="484"/>
      <c r="G10" s="484"/>
      <c r="H10" s="484"/>
      <c r="I10" s="484"/>
      <c r="J10" s="482"/>
      <c r="K10" s="483"/>
    </row>
    <row r="11" spans="1:11" ht="26.25" thickBot="1">
      <c r="A11" s="481"/>
      <c r="B11" s="485" t="s">
        <v>242</v>
      </c>
      <c r="C11" s="484"/>
      <c r="D11" s="484"/>
      <c r="E11" s="484"/>
      <c r="F11" s="484"/>
      <c r="G11" s="484"/>
      <c r="H11" s="484"/>
      <c r="I11" s="488"/>
      <c r="J11" s="484"/>
      <c r="K11" s="483"/>
    </row>
    <row r="12" spans="1:11" ht="13.5" thickBot="1">
      <c r="A12" s="481"/>
      <c r="B12" s="487"/>
      <c r="C12" s="484"/>
      <c r="D12" s="484"/>
      <c r="E12" s="484"/>
      <c r="F12" s="484"/>
      <c r="G12" s="484"/>
      <c r="H12" s="484"/>
      <c r="I12" s="484"/>
      <c r="J12" s="482"/>
      <c r="K12" s="483"/>
    </row>
    <row r="13" spans="1:11" ht="26.25" thickBot="1">
      <c r="A13" s="481"/>
      <c r="B13" s="485" t="s">
        <v>243</v>
      </c>
      <c r="C13" s="484"/>
      <c r="D13" s="484"/>
      <c r="E13" s="484"/>
      <c r="F13" s="484"/>
      <c r="G13" s="484"/>
      <c r="H13" s="484"/>
      <c r="I13" s="488"/>
      <c r="J13" s="484"/>
      <c r="K13" s="483"/>
    </row>
    <row r="14" spans="1:11" ht="12.75">
      <c r="A14" s="481"/>
      <c r="B14" s="482"/>
      <c r="C14" s="482"/>
      <c r="D14" s="482"/>
      <c r="E14" s="482"/>
      <c r="F14" s="482"/>
      <c r="G14" s="482"/>
      <c r="H14" s="482"/>
      <c r="I14" s="482"/>
      <c r="J14" s="482"/>
      <c r="K14" s="483"/>
    </row>
    <row r="15" spans="1:11" ht="13.5" thickBot="1">
      <c r="A15" s="489"/>
      <c r="B15" s="490"/>
      <c r="C15" s="490"/>
      <c r="D15" s="490"/>
      <c r="E15" s="490"/>
      <c r="F15" s="490"/>
      <c r="G15" s="490"/>
      <c r="H15" s="490"/>
      <c r="I15" s="490"/>
      <c r="J15" s="490"/>
      <c r="K15" s="491"/>
    </row>
  </sheetData>
  <sheetProtection algorithmName="SHA-512" hashValue="yxHMnXR22VGZaSAd3EVmliqEPG+8j++XE0kFh7oATxU1PdoEqJWSbNmq+yGlYWgUZY3FTIix36lIHx0Bi6CThw==" saltValue="5VCWtxpR5dcj2KxjEfHHkQ==" spinCount="100000" sheet="1" objects="1" scenarios="1"/>
  <pageMargins left="0.7" right="0.7" top="0.75" bottom="0.75" header="0.3" footer="0.3"/>
  <pageSetup orientation="portrait" paperSize="9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M246"/>
  <sheetViews>
    <sheetView showGridLines="0" zoomScaleSheetLayoutView="70" workbookViewId="0" topLeftCell="A5">
      <selection pane="topLeft" activeCell="F5" sqref="F5:G9"/>
    </sheetView>
  </sheetViews>
  <sheetFormatPr defaultColWidth="9.140625" defaultRowHeight="15"/>
  <cols>
    <col min="1" max="1" width="19.8571428571429" style="11" customWidth="1"/>
    <col min="2" max="3" width="54.4285714285714" style="11" customWidth="1"/>
    <col min="4" max="4" width="31.2857142857143" style="11" customWidth="1"/>
    <col min="5" max="7" width="32.4285714285714" style="11" customWidth="1"/>
    <col min="8" max="8" width="1.57142857142857" style="11" customWidth="1"/>
    <col min="9" max="9" width="9.14285714285714" style="11"/>
    <col min="10" max="10" width="44.1428571428571" style="11" bestFit="1" customWidth="1"/>
    <col min="11" max="16384" width="9.14285714285714" style="11"/>
  </cols>
  <sheetData>
    <row r="1" spans="1:4" ht="12" customHeight="1" hidden="1">
      <c r="A1" s="560" t="s">
        <v>24</v>
      </c>
      <c r="B1" s="560"/>
      <c r="C1" s="561" t="s">
        <v>24</v>
      </c>
      <c r="D1" s="14"/>
    </row>
    <row r="2" spans="1:3" ht="12" customHeight="1" hidden="1">
      <c r="A2" s="562" t="s">
        <v>15</v>
      </c>
      <c r="B2" s="562"/>
      <c r="C2" s="563" t="s">
        <v>31</v>
      </c>
    </row>
    <row r="3" spans="1:3" ht="12" customHeight="1" hidden="1" thickBot="1">
      <c r="A3" s="562" t="s">
        <v>16</v>
      </c>
      <c r="B3" s="562"/>
      <c r="C3" s="563" t="s">
        <v>30</v>
      </c>
    </row>
    <row r="4" spans="1:7" ht="12" customHeight="1" hidden="1">
      <c r="A4" s="564"/>
      <c r="B4" s="565"/>
      <c r="C4" s="565"/>
      <c r="D4" s="406"/>
      <c r="E4" s="406"/>
      <c r="F4" s="406"/>
      <c r="G4" s="292"/>
    </row>
    <row r="5" spans="1:7" ht="12" customHeight="1">
      <c r="A5" s="566"/>
      <c r="B5" s="562"/>
      <c r="C5" s="562"/>
      <c r="D5" s="289"/>
      <c r="E5" s="289"/>
      <c r="F5" s="562" t="s">
        <v>238</v>
      </c>
      <c r="G5" s="580"/>
    </row>
    <row r="6" spans="1:7" ht="12" customHeight="1">
      <c r="A6" s="566"/>
      <c r="B6" s="562"/>
      <c r="C6" s="562"/>
      <c r="D6" s="289"/>
      <c r="E6" s="289"/>
      <c r="F6" s="562"/>
      <c r="G6" s="580"/>
    </row>
    <row r="7" spans="1:7" ht="12" customHeight="1">
      <c r="A7" s="566"/>
      <c r="B7" s="562"/>
      <c r="C7" s="562"/>
      <c r="D7" s="289"/>
      <c r="E7" s="289"/>
      <c r="F7" s="562"/>
      <c r="G7" s="580"/>
    </row>
    <row r="8" spans="1:7" ht="12" customHeight="1">
      <c r="A8" s="566"/>
      <c r="B8" s="562"/>
      <c r="C8" s="562"/>
      <c r="D8" s="289"/>
      <c r="E8" s="289"/>
      <c r="F8" s="562"/>
      <c r="G8" s="580"/>
    </row>
    <row r="9" spans="1:7" ht="12" customHeight="1">
      <c r="A9" s="566"/>
      <c r="B9" s="562"/>
      <c r="C9" s="562"/>
      <c r="D9" s="289"/>
      <c r="E9" s="289"/>
      <c r="F9" s="562"/>
      <c r="G9" s="580"/>
    </row>
    <row r="10" spans="1:7" ht="12" customHeight="1">
      <c r="A10" s="570" t="s">
        <v>19</v>
      </c>
      <c r="B10" s="571"/>
      <c r="C10" s="571"/>
      <c r="D10" s="571"/>
      <c r="E10" s="571"/>
      <c r="F10" s="571"/>
      <c r="G10" s="572"/>
    </row>
    <row r="11" spans="1:7" ht="12" customHeight="1" thickBot="1">
      <c r="A11" s="570"/>
      <c r="B11" s="571"/>
      <c r="C11" s="571"/>
      <c r="D11" s="571"/>
      <c r="E11" s="571"/>
      <c r="F11" s="571"/>
      <c r="G11" s="572"/>
    </row>
    <row r="12" spans="1:7" ht="15" customHeight="1">
      <c r="A12" s="407"/>
      <c r="E12" s="426" t="s">
        <v>436</v>
      </c>
      <c r="F12" s="427"/>
      <c r="G12" s="428"/>
    </row>
    <row r="13" spans="1:7" ht="15" customHeight="1">
      <c r="A13" s="407"/>
      <c r="E13" s="574" t="s">
        <v>437</v>
      </c>
      <c r="F13" s="575"/>
      <c r="G13" s="576"/>
    </row>
    <row r="14" spans="1:7" ht="15" customHeight="1">
      <c r="A14" s="407"/>
      <c r="E14" s="574"/>
      <c r="F14" s="575"/>
      <c r="G14" s="576"/>
    </row>
    <row r="15" spans="1:7" ht="15" customHeight="1">
      <c r="A15" s="407"/>
      <c r="E15" s="574"/>
      <c r="F15" s="575"/>
      <c r="G15" s="576"/>
    </row>
    <row r="16" spans="1:7" ht="15" customHeight="1">
      <c r="A16" s="407"/>
      <c r="E16" s="574"/>
      <c r="F16" s="575"/>
      <c r="G16" s="576"/>
    </row>
    <row r="17" spans="1:7" ht="15" customHeight="1">
      <c r="A17" s="408"/>
      <c r="E17" s="574"/>
      <c r="F17" s="575"/>
      <c r="G17" s="576"/>
    </row>
    <row r="18" spans="1:7" ht="15" customHeight="1">
      <c r="A18" s="408"/>
      <c r="C18" s="15"/>
      <c r="D18" s="15"/>
      <c r="E18" s="574"/>
      <c r="F18" s="575"/>
      <c r="G18" s="576"/>
    </row>
    <row r="19" spans="1:7" ht="15" customHeight="1">
      <c r="A19" s="567"/>
      <c r="B19" s="544"/>
      <c r="C19" s="15"/>
      <c r="D19" s="15"/>
      <c r="E19" s="574"/>
      <c r="F19" s="575"/>
      <c r="G19" s="576"/>
    </row>
    <row r="20" spans="1:7" ht="4.5" customHeight="1" hidden="1">
      <c r="A20" s="408"/>
      <c r="E20" s="574"/>
      <c r="F20" s="575"/>
      <c r="G20" s="576"/>
    </row>
    <row r="21" spans="1:9" ht="17.25" customHeight="1" hidden="1">
      <c r="A21" s="409" t="s">
        <v>20</v>
      </c>
      <c r="B21" s="410"/>
      <c r="E21" s="574"/>
      <c r="F21" s="575"/>
      <c r="G21" s="576"/>
      <c r="H21" s="12"/>
      <c r="I21" s="12"/>
    </row>
    <row r="22" spans="1:9" s="123" customFormat="1" ht="15" customHeight="1" hidden="1">
      <c r="A22" s="573" t="s">
        <v>211</v>
      </c>
      <c r="B22" s="545"/>
      <c r="C22" s="545"/>
      <c r="D22" s="403"/>
      <c r="E22" s="574"/>
      <c r="F22" s="575"/>
      <c r="G22" s="576"/>
      <c r="H22" s="124"/>
      <c r="I22" s="124"/>
    </row>
    <row r="23" spans="1:9" s="123" customFormat="1" ht="15" customHeight="1" hidden="1">
      <c r="A23" s="568" t="s">
        <v>32</v>
      </c>
      <c r="B23" s="569"/>
      <c r="E23" s="574"/>
      <c r="F23" s="575"/>
      <c r="G23" s="576"/>
      <c r="H23" s="124"/>
      <c r="I23" s="124"/>
    </row>
    <row r="24" spans="1:9" s="123" customFormat="1" ht="15" customHeight="1" hidden="1">
      <c r="A24" s="412" t="s">
        <v>24</v>
      </c>
      <c r="B24" s="143" t="s">
        <v>195</v>
      </c>
      <c r="E24" s="574"/>
      <c r="F24" s="575"/>
      <c r="G24" s="576"/>
      <c r="H24" s="124"/>
      <c r="I24" s="124"/>
    </row>
    <row r="25" spans="1:9" s="123" customFormat="1" ht="12" customHeight="1" hidden="1">
      <c r="A25" s="412" t="s">
        <v>24</v>
      </c>
      <c r="B25" s="143" t="s">
        <v>196</v>
      </c>
      <c r="E25" s="574"/>
      <c r="F25" s="575"/>
      <c r="G25" s="576"/>
      <c r="H25" s="124"/>
      <c r="I25" s="124"/>
    </row>
    <row r="26" spans="1:9" s="123" customFormat="1" ht="12" customHeight="1" hidden="1">
      <c r="A26" s="412" t="s">
        <v>24</v>
      </c>
      <c r="B26" s="143" t="s">
        <v>197</v>
      </c>
      <c r="E26" s="574"/>
      <c r="F26" s="575"/>
      <c r="G26" s="576"/>
      <c r="H26" s="124"/>
      <c r="I26" s="124"/>
    </row>
    <row r="27" spans="1:9" s="123" customFormat="1" ht="12" customHeight="1" hidden="1">
      <c r="A27" s="412" t="s">
        <v>24</v>
      </c>
      <c r="B27" s="143" t="s">
        <v>198</v>
      </c>
      <c r="E27" s="574"/>
      <c r="F27" s="575"/>
      <c r="G27" s="576"/>
      <c r="I27" s="124"/>
    </row>
    <row r="28" spans="1:9" s="123" customFormat="1" ht="12" customHeight="1" hidden="1">
      <c r="A28" s="412" t="s">
        <v>24</v>
      </c>
      <c r="B28" s="143" t="s">
        <v>199</v>
      </c>
      <c r="E28" s="574"/>
      <c r="F28" s="575"/>
      <c r="G28" s="576"/>
      <c r="I28" s="124"/>
    </row>
    <row r="29" spans="1:9" s="123" customFormat="1" ht="12" customHeight="1" hidden="1">
      <c r="A29" s="412" t="s">
        <v>24</v>
      </c>
      <c r="B29" s="143" t="s">
        <v>200</v>
      </c>
      <c r="E29" s="574"/>
      <c r="F29" s="575"/>
      <c r="G29" s="576"/>
      <c r="I29" s="124"/>
    </row>
    <row r="30" spans="1:7" s="123" customFormat="1" ht="4.5" customHeight="1" hidden="1">
      <c r="A30" s="413"/>
      <c r="E30" s="574"/>
      <c r="F30" s="575"/>
      <c r="G30" s="576"/>
    </row>
    <row r="31" spans="1:9" s="123" customFormat="1" ht="6.75" customHeight="1" hidden="1">
      <c r="A31" s="414"/>
      <c r="B31" s="155"/>
      <c r="C31" s="155"/>
      <c r="D31" s="155"/>
      <c r="E31" s="574"/>
      <c r="F31" s="575"/>
      <c r="G31" s="576"/>
      <c r="H31" s="155"/>
      <c r="I31" s="124"/>
    </row>
    <row r="32" spans="1:7" s="155" customFormat="1" ht="15">
      <c r="A32" s="409" t="s">
        <v>102</v>
      </c>
      <c r="B32" s="123"/>
      <c r="C32" s="123"/>
      <c r="D32" s="123"/>
      <c r="E32" s="574"/>
      <c r="F32" s="575"/>
      <c r="G32" s="576"/>
    </row>
    <row r="33" spans="1:7" s="155" customFormat="1" ht="5.1" customHeight="1">
      <c r="A33" s="413"/>
      <c r="B33" s="123"/>
      <c r="C33" s="123"/>
      <c r="D33" s="123"/>
      <c r="E33" s="574"/>
      <c r="F33" s="575"/>
      <c r="G33" s="576"/>
    </row>
    <row r="34" spans="1:7" s="155" customFormat="1" ht="23.25" customHeight="1">
      <c r="A34" s="415" t="s">
        <v>36</v>
      </c>
      <c r="B34" s="302" t="str">
        <f>'General Information'!B49</f>
        <v>Bill to Dealer</v>
      </c>
      <c r="C34" s="404" t="s">
        <v>291</v>
      </c>
      <c r="D34" s="405">
        <v>0</v>
      </c>
      <c r="E34" s="574"/>
      <c r="F34" s="575"/>
      <c r="G34" s="576"/>
    </row>
    <row r="35" spans="1:7" s="155" customFormat="1" ht="5.25" customHeight="1">
      <c r="A35" s="416"/>
      <c r="B35" s="144"/>
      <c r="C35" s="127"/>
      <c r="D35" s="144"/>
      <c r="E35" s="574"/>
      <c r="F35" s="575"/>
      <c r="G35" s="576"/>
    </row>
    <row r="36" spans="1:7" s="155" customFormat="1" ht="23.25" customHeight="1">
      <c r="A36" s="415" t="s">
        <v>91</v>
      </c>
      <c r="B36" s="302" t="s">
        <v>95</v>
      </c>
      <c r="C36" s="404" t="s">
        <v>294</v>
      </c>
      <c r="D36" s="405">
        <v>0</v>
      </c>
      <c r="E36" s="574"/>
      <c r="F36" s="575"/>
      <c r="G36" s="576"/>
    </row>
    <row r="37" spans="1:7" s="155" customFormat="1" ht="5.25" customHeight="1">
      <c r="A37" s="416"/>
      <c r="B37" s="144"/>
      <c r="C37" s="127"/>
      <c r="D37" s="144"/>
      <c r="E37" s="574"/>
      <c r="F37" s="575"/>
      <c r="G37" s="576"/>
    </row>
    <row r="38" spans="1:7" s="155" customFormat="1" ht="23.25" customHeight="1">
      <c r="A38" s="415" t="s">
        <v>93</v>
      </c>
      <c r="B38" s="302" t="s">
        <v>260</v>
      </c>
      <c r="C38" s="404" t="s">
        <v>293</v>
      </c>
      <c r="D38" s="405">
        <v>21.280000000000001</v>
      </c>
      <c r="E38" s="574"/>
      <c r="F38" s="575"/>
      <c r="G38" s="576"/>
    </row>
    <row r="39" spans="1:7" s="155" customFormat="1" ht="5.25" customHeight="1">
      <c r="A39" s="417"/>
      <c r="B39" s="418"/>
      <c r="C39" s="127"/>
      <c r="D39" s="144"/>
      <c r="E39" s="574"/>
      <c r="F39" s="575"/>
      <c r="G39" s="576"/>
    </row>
    <row r="40" spans="1:7" s="155" customFormat="1" ht="23.25" customHeight="1">
      <c r="A40" s="419" t="s">
        <v>232</v>
      </c>
      <c r="B40" s="303" t="s">
        <v>16</v>
      </c>
      <c r="C40" s="404" t="s">
        <v>439</v>
      </c>
      <c r="D40" s="405" t="s">
        <v>16</v>
      </c>
      <c r="E40" s="574"/>
      <c r="F40" s="575"/>
      <c r="G40" s="576"/>
    </row>
    <row r="41" spans="1:7" s="155" customFormat="1" ht="5.25" customHeight="1">
      <c r="A41" s="414"/>
      <c r="C41" s="420"/>
      <c r="D41" s="144"/>
      <c r="E41" s="574"/>
      <c r="F41" s="575"/>
      <c r="G41" s="576"/>
    </row>
    <row r="42" spans="1:7" s="155" customFormat="1" ht="23.25" customHeight="1" thickBot="1">
      <c r="A42" s="431"/>
      <c r="B42" s="432"/>
      <c r="C42" s="404" t="s">
        <v>292</v>
      </c>
      <c r="D42" s="405">
        <v>0</v>
      </c>
      <c r="E42" s="577"/>
      <c r="F42" s="578"/>
      <c r="G42" s="579"/>
    </row>
    <row r="43" spans="1:7" s="155" customFormat="1" ht="5.25" customHeight="1">
      <c r="A43" s="414"/>
      <c r="C43" s="420"/>
      <c r="D43" s="144"/>
      <c r="E43" s="144"/>
      <c r="F43" s="144"/>
      <c r="G43" s="293"/>
    </row>
    <row r="44" spans="1:7" s="155" customFormat="1" ht="5.25" customHeight="1" thickBot="1">
      <c r="A44" s="421"/>
      <c r="B44" s="123"/>
      <c r="C44" s="411"/>
      <c r="D44" s="411"/>
      <c r="E44" s="411"/>
      <c r="F44" s="411"/>
      <c r="G44" s="293"/>
    </row>
    <row r="45" spans="1:7" s="155" customFormat="1" ht="20.1" customHeight="1">
      <c r="A45" s="423" t="s">
        <v>264</v>
      </c>
      <c r="B45" s="424" t="s">
        <v>265</v>
      </c>
      <c r="C45" s="424" t="s">
        <v>266</v>
      </c>
      <c r="D45" s="424" t="s">
        <v>267</v>
      </c>
      <c r="E45" s="424" t="s">
        <v>268</v>
      </c>
      <c r="F45" s="424" t="s">
        <v>269</v>
      </c>
      <c r="G45" s="425" t="s">
        <v>270</v>
      </c>
    </row>
    <row r="46" spans="1:7" s="204" customFormat="1" ht="36">
      <c r="A46" s="294">
        <v>1</v>
      </c>
      <c r="B46" s="288" t="s">
        <v>272</v>
      </c>
      <c r="C46" s="288" t="s">
        <v>272</v>
      </c>
      <c r="D46" s="288" t="s">
        <v>274</v>
      </c>
      <c r="E46" s="288" t="s">
        <v>275</v>
      </c>
      <c r="F46" s="288">
        <v>12</v>
      </c>
      <c r="G46" s="295">
        <v>0</v>
      </c>
    </row>
    <row r="47" spans="1:7" s="204" customFormat="1" ht="36">
      <c r="A47" s="294">
        <v>1</v>
      </c>
      <c r="B47" s="288" t="s">
        <v>277</v>
      </c>
      <c r="C47" s="288" t="s">
        <v>276</v>
      </c>
      <c r="D47" s="288" t="s">
        <v>273</v>
      </c>
      <c r="E47" s="288" t="s">
        <v>271</v>
      </c>
      <c r="F47" s="288">
        <v>1</v>
      </c>
      <c r="G47" s="295">
        <v>21.280000000000001</v>
      </c>
    </row>
    <row r="48" spans="1:7" s="155" customFormat="1" ht="20.1" customHeight="1">
      <c r="A48" s="296"/>
      <c r="B48" s="285"/>
      <c r="C48" s="285"/>
      <c r="D48" s="285"/>
      <c r="E48" s="285"/>
      <c r="F48" s="285"/>
      <c r="G48" s="297"/>
    </row>
    <row r="49" spans="1:7" s="155" customFormat="1" ht="20.1" customHeight="1">
      <c r="A49" s="294"/>
      <c r="B49" s="288"/>
      <c r="C49" s="285"/>
      <c r="D49" s="285"/>
      <c r="E49" s="285"/>
      <c r="F49" s="285"/>
      <c r="G49" s="295"/>
    </row>
    <row r="50" spans="1:7" s="204" customFormat="1" ht="12">
      <c r="A50" s="294"/>
      <c r="B50" s="288"/>
      <c r="C50" s="288"/>
      <c r="D50" s="288"/>
      <c r="E50" s="288"/>
      <c r="F50" s="288"/>
      <c r="G50" s="295"/>
    </row>
    <row r="51" spans="1:7" s="155" customFormat="1" ht="20.1" customHeight="1">
      <c r="A51" s="294"/>
      <c r="B51" s="288"/>
      <c r="C51" s="288"/>
      <c r="D51" s="288"/>
      <c r="E51" s="288"/>
      <c r="F51" s="288"/>
      <c r="G51" s="295"/>
    </row>
    <row r="52" spans="1:7" s="155" customFormat="1" ht="20.1" customHeight="1">
      <c r="A52" s="294"/>
      <c r="B52" s="288"/>
      <c r="C52" s="288"/>
      <c r="D52" s="288"/>
      <c r="E52" s="288"/>
      <c r="F52" s="288"/>
      <c r="G52" s="295"/>
    </row>
    <row r="53" spans="1:7" s="204" customFormat="1" ht="12">
      <c r="A53" s="294"/>
      <c r="B53" s="288"/>
      <c r="C53" s="288"/>
      <c r="D53" s="288"/>
      <c r="E53" s="288"/>
      <c r="F53" s="288"/>
      <c r="G53" s="295"/>
    </row>
    <row r="54" spans="1:7" s="155" customFormat="1" ht="20.1" customHeight="1">
      <c r="A54" s="294"/>
      <c r="B54" s="288"/>
      <c r="C54" s="288"/>
      <c r="D54" s="288"/>
      <c r="E54" s="288"/>
      <c r="F54" s="288"/>
      <c r="G54" s="295"/>
    </row>
    <row r="55" spans="1:7" s="155" customFormat="1" ht="20.1" customHeight="1">
      <c r="A55" s="294"/>
      <c r="B55" s="288"/>
      <c r="C55" s="288"/>
      <c r="D55" s="288"/>
      <c r="E55" s="288"/>
      <c r="F55" s="288"/>
      <c r="G55" s="295"/>
    </row>
    <row r="56" spans="1:7" s="204" customFormat="1" ht="12">
      <c r="A56" s="298"/>
      <c r="B56" s="287"/>
      <c r="C56" s="287"/>
      <c r="D56" s="287"/>
      <c r="E56" s="287"/>
      <c r="F56" s="287"/>
      <c r="G56" s="299"/>
    </row>
    <row r="57" spans="1:7" s="155" customFormat="1" ht="20.1" customHeight="1">
      <c r="A57" s="298"/>
      <c r="B57" s="287"/>
      <c r="C57" s="287"/>
      <c r="D57" s="287"/>
      <c r="E57" s="287"/>
      <c r="F57" s="287"/>
      <c r="G57" s="299"/>
    </row>
    <row r="58" spans="1:7" s="155" customFormat="1" ht="20.1" customHeight="1">
      <c r="A58" s="298"/>
      <c r="B58" s="287"/>
      <c r="C58" s="287"/>
      <c r="D58" s="287"/>
      <c r="E58" s="287"/>
      <c r="F58" s="287"/>
      <c r="G58" s="299"/>
    </row>
    <row r="59" spans="1:7" s="204" customFormat="1" ht="12">
      <c r="A59" s="298"/>
      <c r="B59" s="287"/>
      <c r="C59" s="287"/>
      <c r="D59" s="287"/>
      <c r="E59" s="287"/>
      <c r="F59" s="287"/>
      <c r="G59" s="299"/>
    </row>
    <row r="60" spans="1:7" s="155" customFormat="1" ht="20.1" customHeight="1">
      <c r="A60" s="298"/>
      <c r="B60" s="287"/>
      <c r="C60" s="287"/>
      <c r="D60" s="287"/>
      <c r="E60" s="287"/>
      <c r="F60" s="287"/>
      <c r="G60" s="299"/>
    </row>
    <row r="61" spans="1:7" s="155" customFormat="1" ht="20.1" customHeight="1">
      <c r="A61" s="298"/>
      <c r="B61" s="287"/>
      <c r="C61" s="287"/>
      <c r="D61" s="287"/>
      <c r="E61" s="287"/>
      <c r="F61" s="287"/>
      <c r="G61" s="299"/>
    </row>
    <row r="62" spans="1:7" s="204" customFormat="1" ht="12">
      <c r="A62" s="298"/>
      <c r="B62" s="287"/>
      <c r="C62" s="287"/>
      <c r="D62" s="287"/>
      <c r="E62" s="287"/>
      <c r="F62" s="287"/>
      <c r="G62" s="299"/>
    </row>
    <row r="63" spans="1:7" s="155" customFormat="1" ht="20.1" customHeight="1">
      <c r="A63" s="298"/>
      <c r="B63" s="287"/>
      <c r="C63" s="287"/>
      <c r="D63" s="287"/>
      <c r="E63" s="287"/>
      <c r="F63" s="287"/>
      <c r="G63" s="299"/>
    </row>
    <row r="64" spans="1:7" s="155" customFormat="1" ht="20.1" customHeight="1">
      <c r="A64" s="298"/>
      <c r="B64" s="287"/>
      <c r="C64" s="287"/>
      <c r="D64" s="287"/>
      <c r="E64" s="287"/>
      <c r="F64" s="287"/>
      <c r="G64" s="299"/>
    </row>
    <row r="65" spans="1:7" s="204" customFormat="1" ht="12">
      <c r="A65" s="298"/>
      <c r="B65" s="287"/>
      <c r="C65" s="287"/>
      <c r="D65" s="287"/>
      <c r="E65" s="287"/>
      <c r="F65" s="287"/>
      <c r="G65" s="299"/>
    </row>
    <row r="66" spans="1:7" s="155" customFormat="1" ht="20.1" customHeight="1">
      <c r="A66" s="298"/>
      <c r="B66" s="287"/>
      <c r="C66" s="287"/>
      <c r="D66" s="287"/>
      <c r="E66" s="287"/>
      <c r="F66" s="287"/>
      <c r="G66" s="299"/>
    </row>
    <row r="67" spans="1:7" s="155" customFormat="1" ht="20.1" customHeight="1">
      <c r="A67" s="298"/>
      <c r="B67" s="287"/>
      <c r="C67" s="287"/>
      <c r="D67" s="287"/>
      <c r="E67" s="287"/>
      <c r="F67" s="287"/>
      <c r="G67" s="299"/>
    </row>
    <row r="68" spans="1:7" s="204" customFormat="1" ht="12">
      <c r="A68" s="298"/>
      <c r="B68" s="287"/>
      <c r="C68" s="287"/>
      <c r="D68" s="287"/>
      <c r="E68" s="287"/>
      <c r="F68" s="287"/>
      <c r="G68" s="299"/>
    </row>
    <row r="69" spans="1:7" s="204" customFormat="1" ht="12">
      <c r="A69" s="298"/>
      <c r="B69" s="287"/>
      <c r="C69" s="287"/>
      <c r="D69" s="287"/>
      <c r="E69" s="287"/>
      <c r="F69" s="287"/>
      <c r="G69" s="299"/>
    </row>
    <row r="70" spans="1:7" s="155" customFormat="1" ht="6.95" customHeight="1">
      <c r="A70" s="298"/>
      <c r="B70" s="287"/>
      <c r="C70" s="287"/>
      <c r="D70" s="287"/>
      <c r="E70" s="287"/>
      <c r="F70" s="287"/>
      <c r="G70" s="299"/>
    </row>
    <row r="71" spans="1:7" s="123" customFormat="1" ht="13.5" customHeight="1" thickBot="1">
      <c r="A71" s="300"/>
      <c r="B71" s="301"/>
      <c r="C71" s="301"/>
      <c r="D71" s="301"/>
      <c r="E71" s="301"/>
      <c r="F71" s="301"/>
      <c r="G71" s="422" t="s">
        <v>237</v>
      </c>
    </row>
    <row r="72" spans="1:6" s="124" customFormat="1" ht="17.25" customHeight="1">
      <c r="A72" s="123"/>
      <c r="B72" s="123"/>
      <c r="C72" s="123"/>
      <c r="D72" s="123"/>
      <c r="E72" s="123"/>
      <c r="F72" s="123"/>
    </row>
    <row r="73" spans="1:6" s="131" customFormat="1" ht="12">
      <c r="A73" s="123"/>
      <c r="B73" s="123"/>
      <c r="C73" s="123"/>
      <c r="D73" s="123"/>
      <c r="E73" s="123"/>
      <c r="F73" s="123"/>
    </row>
    <row r="74" spans="1:6" s="131" customFormat="1" ht="15" customHeight="1">
      <c r="A74" s="123"/>
      <c r="B74" s="123"/>
      <c r="C74" s="123"/>
      <c r="D74" s="123"/>
      <c r="E74" s="123"/>
      <c r="F74" s="123"/>
    </row>
    <row r="75" spans="1:6" s="124" customFormat="1" ht="15">
      <c r="A75" s="11"/>
      <c r="B75" s="11"/>
      <c r="C75" s="11"/>
      <c r="D75" s="11"/>
      <c r="E75" s="11"/>
      <c r="F75" s="11"/>
    </row>
    <row r="76" spans="1:6" s="124" customFormat="1" ht="15">
      <c r="A76" s="11"/>
      <c r="B76" s="11"/>
      <c r="C76" s="11"/>
      <c r="D76" s="11"/>
      <c r="E76" s="11"/>
      <c r="F76" s="11"/>
    </row>
    <row r="77" spans="1:6" s="124" customFormat="1" ht="15">
      <c r="A77" s="11"/>
      <c r="B77" s="11"/>
      <c r="C77" s="11"/>
      <c r="D77" s="11"/>
      <c r="E77" s="11"/>
      <c r="F77" s="11"/>
    </row>
    <row r="78" spans="1:6" s="124" customFormat="1" ht="15">
      <c r="A78" s="11"/>
      <c r="B78" s="11"/>
      <c r="C78" s="11"/>
      <c r="D78" s="11"/>
      <c r="E78" s="11"/>
      <c r="F78" s="11"/>
    </row>
    <row r="79" spans="1:6" s="124" customFormat="1" ht="15">
      <c r="A79" s="11"/>
      <c r="B79" s="11"/>
      <c r="C79" s="11"/>
      <c r="D79" s="11"/>
      <c r="E79" s="11"/>
      <c r="F79" s="11"/>
    </row>
    <row r="80" spans="1:6" s="124" customFormat="1" ht="15">
      <c r="A80" s="11"/>
      <c r="B80" s="11"/>
      <c r="C80" s="11"/>
      <c r="D80" s="11"/>
      <c r="E80" s="11"/>
      <c r="F80" s="11"/>
    </row>
    <row r="81" spans="1:6" s="124" customFormat="1" ht="15">
      <c r="A81" s="11"/>
      <c r="B81" s="11"/>
      <c r="C81" s="11"/>
      <c r="D81" s="11"/>
      <c r="E81" s="11"/>
      <c r="F81" s="11"/>
    </row>
    <row r="82" spans="1:6" s="124" customFormat="1" ht="15">
      <c r="A82" s="11"/>
      <c r="B82" s="11"/>
      <c r="C82" s="11"/>
      <c r="D82" s="11"/>
      <c r="E82" s="11"/>
      <c r="F82" s="11"/>
    </row>
    <row r="83" spans="1:6" s="124" customFormat="1" ht="15">
      <c r="A83" s="11"/>
      <c r="B83" s="11"/>
      <c r="C83" s="11"/>
      <c r="D83" s="11"/>
      <c r="E83" s="11"/>
      <c r="F83" s="11"/>
    </row>
    <row r="84" spans="1:6" s="124" customFormat="1" ht="15">
      <c r="A84" s="11"/>
      <c r="B84" s="11"/>
      <c r="C84" s="11"/>
      <c r="D84" s="11"/>
      <c r="E84" s="11"/>
      <c r="F84" s="11"/>
    </row>
    <row r="85" spans="1:6" s="124" customFormat="1" ht="15">
      <c r="A85" s="11"/>
      <c r="B85" s="11"/>
      <c r="C85" s="11"/>
      <c r="D85" s="11"/>
      <c r="E85" s="11"/>
      <c r="F85" s="11"/>
    </row>
    <row r="86" spans="1:6" s="124" customFormat="1" ht="15">
      <c r="A86" s="11"/>
      <c r="B86" s="11"/>
      <c r="C86" s="11"/>
      <c r="D86" s="11"/>
      <c r="E86" s="11"/>
      <c r="F86" s="11"/>
    </row>
    <row r="87" spans="1:6" s="124" customFormat="1" ht="15">
      <c r="A87" s="11"/>
      <c r="B87" s="11"/>
      <c r="C87" s="11"/>
      <c r="D87" s="11"/>
      <c r="E87" s="11"/>
      <c r="F87" s="11"/>
    </row>
    <row r="88" spans="1:6" s="124" customFormat="1" ht="28.5" customHeight="1">
      <c r="A88" s="11"/>
      <c r="B88" s="11"/>
      <c r="C88" s="11"/>
      <c r="D88" s="11"/>
      <c r="E88" s="11"/>
      <c r="F88" s="11"/>
    </row>
    <row r="89" spans="1:6" s="124" customFormat="1" ht="28.5" customHeight="1">
      <c r="A89" s="11"/>
      <c r="B89" s="11"/>
      <c r="C89" s="11"/>
      <c r="D89" s="11"/>
      <c r="E89" s="11"/>
      <c r="F89" s="11"/>
    </row>
    <row r="90" spans="1:6" s="124" customFormat="1" ht="15">
      <c r="A90" s="11"/>
      <c r="B90" s="11"/>
      <c r="C90" s="11"/>
      <c r="D90" s="11"/>
      <c r="E90" s="11"/>
      <c r="F90" s="11"/>
    </row>
    <row r="91" spans="1:6" s="124" customFormat="1" ht="15">
      <c r="A91" s="11"/>
      <c r="B91" s="11"/>
      <c r="C91" s="11"/>
      <c r="D91" s="11"/>
      <c r="E91" s="11"/>
      <c r="F91" s="11"/>
    </row>
    <row r="92" spans="1:6" s="124" customFormat="1" ht="15">
      <c r="A92" s="11"/>
      <c r="B92" s="11"/>
      <c r="C92" s="11"/>
      <c r="D92" s="11"/>
      <c r="E92" s="11"/>
      <c r="F92" s="11"/>
    </row>
    <row r="93" spans="1:6" s="124" customFormat="1" ht="15">
      <c r="A93" s="11"/>
      <c r="B93" s="11"/>
      <c r="C93" s="11"/>
      <c r="D93" s="11"/>
      <c r="E93" s="11"/>
      <c r="F93" s="11"/>
    </row>
    <row r="94" spans="1:6" s="124" customFormat="1" ht="15">
      <c r="A94" s="11"/>
      <c r="B94" s="11"/>
      <c r="C94" s="11"/>
      <c r="D94" s="11"/>
      <c r="E94" s="11"/>
      <c r="F94" s="11"/>
    </row>
    <row r="95" spans="1:6" s="124" customFormat="1" ht="15">
      <c r="A95" s="11"/>
      <c r="B95" s="11"/>
      <c r="C95" s="11"/>
      <c r="D95" s="11"/>
      <c r="E95" s="11"/>
      <c r="F95" s="11"/>
    </row>
    <row r="96" spans="1:6" s="124" customFormat="1" ht="15">
      <c r="A96" s="11"/>
      <c r="B96" s="11"/>
      <c r="C96" s="11"/>
      <c r="D96" s="11"/>
      <c r="E96" s="11"/>
      <c r="F96" s="11"/>
    </row>
    <row r="97" spans="1:6" s="124" customFormat="1" ht="15">
      <c r="A97" s="11"/>
      <c r="B97" s="11"/>
      <c r="C97" s="11"/>
      <c r="D97" s="11"/>
      <c r="E97" s="11"/>
      <c r="F97" s="11"/>
    </row>
    <row r="98" spans="1:6" s="124" customFormat="1" ht="15">
      <c r="A98" s="11"/>
      <c r="B98" s="11"/>
      <c r="C98" s="11"/>
      <c r="D98" s="11"/>
      <c r="E98" s="11"/>
      <c r="F98" s="11"/>
    </row>
    <row r="99" spans="1:6" s="124" customFormat="1" ht="15">
      <c r="A99" s="11"/>
      <c r="B99" s="11"/>
      <c r="C99" s="11"/>
      <c r="D99" s="11"/>
      <c r="E99" s="11"/>
      <c r="F99" s="11"/>
    </row>
    <row r="100" spans="1:6" s="124" customFormat="1" ht="15">
      <c r="A100" s="11"/>
      <c r="B100" s="11"/>
      <c r="C100" s="11"/>
      <c r="D100" s="11"/>
      <c r="E100" s="11"/>
      <c r="F100" s="11"/>
    </row>
    <row r="101" spans="1:6" s="124" customFormat="1" ht="15">
      <c r="A101" s="11"/>
      <c r="B101" s="11"/>
      <c r="C101" s="11"/>
      <c r="D101" s="11"/>
      <c r="E101" s="11"/>
      <c r="F101" s="11"/>
    </row>
    <row r="102" spans="1:6" s="124" customFormat="1" ht="15">
      <c r="A102" s="11"/>
      <c r="B102" s="11"/>
      <c r="C102" s="11"/>
      <c r="D102" s="11"/>
      <c r="E102" s="11"/>
      <c r="F102" s="11"/>
    </row>
    <row r="103" spans="1:10" s="124" customFormat="1" ht="26.25" customHeight="1">
      <c r="A103" s="11"/>
      <c r="B103" s="11"/>
      <c r="C103" s="11"/>
      <c r="D103" s="11"/>
      <c r="E103" s="11"/>
      <c r="F103" s="11"/>
      <c r="J103" s="275"/>
    </row>
    <row r="104" spans="1:10" s="124" customFormat="1" ht="15">
      <c r="A104" s="11"/>
      <c r="B104" s="11"/>
      <c r="C104" s="11"/>
      <c r="D104" s="11"/>
      <c r="E104" s="11"/>
      <c r="F104" s="11"/>
      <c r="J104" s="158"/>
    </row>
    <row r="105" spans="1:10" s="124" customFormat="1" ht="15">
      <c r="A105" s="11"/>
      <c r="B105" s="11"/>
      <c r="C105" s="11"/>
      <c r="D105" s="11"/>
      <c r="E105" s="11"/>
      <c r="F105" s="11"/>
      <c r="J105" s="158"/>
    </row>
    <row r="106" spans="1:10" s="124" customFormat="1" ht="15">
      <c r="A106" s="11"/>
      <c r="B106" s="11"/>
      <c r="C106" s="11"/>
      <c r="D106" s="11"/>
      <c r="E106" s="11"/>
      <c r="F106" s="11"/>
      <c r="J106" s="158"/>
    </row>
    <row r="107" spans="1:6" s="124" customFormat="1" ht="15">
      <c r="A107" s="11"/>
      <c r="B107" s="11"/>
      <c r="C107" s="11"/>
      <c r="D107" s="11"/>
      <c r="E107" s="11"/>
      <c r="F107" s="11"/>
    </row>
    <row r="108" spans="1:6" s="124" customFormat="1" ht="15">
      <c r="A108" s="11"/>
      <c r="B108" s="11"/>
      <c r="C108" s="11"/>
      <c r="D108" s="11"/>
      <c r="E108" s="11"/>
      <c r="F108" s="11"/>
    </row>
    <row r="109" spans="1:6" s="124" customFormat="1" ht="15">
      <c r="A109" s="11"/>
      <c r="B109" s="11"/>
      <c r="C109" s="11"/>
      <c r="D109" s="11"/>
      <c r="E109" s="11"/>
      <c r="F109" s="11"/>
    </row>
    <row r="110" spans="1:6" s="124" customFormat="1" ht="15">
      <c r="A110" s="11"/>
      <c r="B110" s="11"/>
      <c r="C110" s="11"/>
      <c r="D110" s="11"/>
      <c r="E110" s="11"/>
      <c r="F110" s="11"/>
    </row>
    <row r="111" spans="1:6" s="124" customFormat="1" ht="15">
      <c r="A111" s="11"/>
      <c r="B111" s="11"/>
      <c r="C111" s="11"/>
      <c r="D111" s="11"/>
      <c r="E111" s="11"/>
      <c r="F111" s="11"/>
    </row>
    <row r="112" spans="1:6" s="124" customFormat="1" ht="14.25" customHeight="1">
      <c r="A112" s="11"/>
      <c r="B112" s="11"/>
      <c r="C112" s="11"/>
      <c r="D112" s="11"/>
      <c r="E112" s="11"/>
      <c r="F112" s="11"/>
    </row>
    <row r="113" spans="1:6" s="124" customFormat="1" ht="14.25" customHeight="1">
      <c r="A113" s="11"/>
      <c r="B113" s="11"/>
      <c r="C113" s="11"/>
      <c r="D113" s="11"/>
      <c r="E113" s="11"/>
      <c r="F113" s="11"/>
    </row>
    <row r="114" spans="1:6" s="124" customFormat="1" ht="13.5" customHeight="1">
      <c r="A114" s="11"/>
      <c r="B114" s="11"/>
      <c r="C114" s="11"/>
      <c r="D114" s="11"/>
      <c r="E114" s="11"/>
      <c r="F114" s="11"/>
    </row>
    <row r="115" spans="1:6" s="124" customFormat="1" ht="13.5" customHeight="1">
      <c r="A115" s="11"/>
      <c r="B115" s="11"/>
      <c r="C115" s="11"/>
      <c r="D115" s="11"/>
      <c r="E115" s="11"/>
      <c r="F115" s="11"/>
    </row>
    <row r="116" spans="1:6" s="124" customFormat="1" ht="14.25" customHeight="1">
      <c r="A116" s="11"/>
      <c r="B116" s="11"/>
      <c r="C116" s="11"/>
      <c r="D116" s="11"/>
      <c r="E116" s="11"/>
      <c r="F116" s="11"/>
    </row>
    <row r="117" spans="1:6" s="124" customFormat="1" ht="14.25" customHeight="1">
      <c r="A117" s="11"/>
      <c r="B117" s="11"/>
      <c r="C117" s="11"/>
      <c r="D117" s="11"/>
      <c r="E117" s="11"/>
      <c r="F117" s="11"/>
    </row>
    <row r="118" spans="1:6" s="124" customFormat="1" ht="14.25" customHeight="1">
      <c r="A118" s="11"/>
      <c r="B118" s="11"/>
      <c r="C118" s="11"/>
      <c r="D118" s="11"/>
      <c r="E118" s="11"/>
      <c r="F118" s="11"/>
    </row>
    <row r="119" spans="1:6" s="124" customFormat="1" ht="14.25" customHeight="1">
      <c r="A119" s="11"/>
      <c r="B119" s="11"/>
      <c r="C119" s="11"/>
      <c r="D119" s="11"/>
      <c r="E119" s="11"/>
      <c r="F119" s="11"/>
    </row>
    <row r="120" spans="1:6" s="124" customFormat="1" ht="14.25" customHeight="1">
      <c r="A120" s="11"/>
      <c r="B120" s="11"/>
      <c r="C120" s="11"/>
      <c r="D120" s="11"/>
      <c r="E120" s="11"/>
      <c r="F120" s="11"/>
    </row>
    <row r="121" spans="1:6" s="124" customFormat="1" ht="12.75" customHeight="1">
      <c r="A121" s="11"/>
      <c r="B121" s="11"/>
      <c r="C121" s="11"/>
      <c r="D121" s="11"/>
      <c r="E121" s="11"/>
      <c r="F121" s="11"/>
    </row>
    <row r="122" spans="1:6" s="124" customFormat="1" ht="18.75" customHeight="1">
      <c r="A122" s="11"/>
      <c r="B122" s="11"/>
      <c r="C122" s="11"/>
      <c r="D122" s="11"/>
      <c r="E122" s="11"/>
      <c r="F122" s="11"/>
    </row>
    <row r="123" spans="1:6" s="124" customFormat="1" ht="15.75" customHeight="1">
      <c r="A123" s="11"/>
      <c r="B123" s="11"/>
      <c r="C123" s="11"/>
      <c r="D123" s="11"/>
      <c r="E123" s="11"/>
      <c r="F123" s="11"/>
    </row>
    <row r="124" spans="1:13" s="123" customFormat="1" ht="21" customHeight="1">
      <c r="A124" s="11"/>
      <c r="B124" s="11"/>
      <c r="C124" s="11"/>
      <c r="D124" s="11"/>
      <c r="E124" s="11"/>
      <c r="F124" s="11"/>
      <c r="J124" s="155"/>
      <c r="K124" s="155"/>
      <c r="L124" s="155"/>
      <c r="M124" s="155"/>
    </row>
    <row r="125" spans="1:13" s="199" customFormat="1" ht="15">
      <c r="A125" s="11"/>
      <c r="B125" s="11"/>
      <c r="C125" s="11"/>
      <c r="D125" s="11"/>
      <c r="E125" s="11"/>
      <c r="F125" s="11"/>
      <c r="J125" s="233"/>
      <c r="K125" s="233"/>
      <c r="L125" s="233"/>
      <c r="M125" s="233"/>
    </row>
    <row r="126" spans="1:13" s="199" customFormat="1" ht="15">
      <c r="A126" s="11"/>
      <c r="B126" s="11"/>
      <c r="C126" s="11"/>
      <c r="D126" s="11"/>
      <c r="E126" s="11"/>
      <c r="F126" s="11"/>
      <c r="J126" s="233"/>
      <c r="K126" s="233"/>
      <c r="L126" s="233"/>
      <c r="M126" s="233"/>
    </row>
    <row r="127" spans="1:13" s="199" customFormat="1" ht="15">
      <c r="A127" s="11"/>
      <c r="B127" s="11"/>
      <c r="C127" s="11"/>
      <c r="D127" s="11"/>
      <c r="E127" s="11"/>
      <c r="F127" s="11"/>
      <c r="J127" s="233"/>
      <c r="K127" s="233"/>
      <c r="L127" s="233"/>
      <c r="M127" s="233"/>
    </row>
    <row r="128" spans="1:13" s="199" customFormat="1" ht="15">
      <c r="A128" s="11"/>
      <c r="B128" s="11"/>
      <c r="C128" s="11"/>
      <c r="D128" s="11"/>
      <c r="E128" s="11"/>
      <c r="F128" s="11"/>
      <c r="J128" s="233"/>
      <c r="K128" s="233"/>
      <c r="L128" s="233"/>
      <c r="M128" s="233"/>
    </row>
    <row r="129" spans="1:13" s="199" customFormat="1" ht="15">
      <c r="A129" s="11"/>
      <c r="B129" s="11"/>
      <c r="C129" s="11"/>
      <c r="D129" s="11"/>
      <c r="E129" s="11"/>
      <c r="F129" s="11"/>
      <c r="J129" s="233"/>
      <c r="K129" s="233"/>
      <c r="L129" s="233"/>
      <c r="M129" s="233"/>
    </row>
    <row r="130" spans="1:13" s="199" customFormat="1" ht="15">
      <c r="A130" s="11"/>
      <c r="B130" s="11"/>
      <c r="C130" s="11"/>
      <c r="D130" s="11"/>
      <c r="E130" s="11"/>
      <c r="F130" s="11"/>
      <c r="J130" s="233"/>
      <c r="K130" s="233"/>
      <c r="L130" s="233"/>
      <c r="M130" s="233"/>
    </row>
    <row r="131" spans="1:13" s="199" customFormat="1" ht="15">
      <c r="A131" s="11"/>
      <c r="B131" s="11"/>
      <c r="C131" s="11"/>
      <c r="D131" s="11"/>
      <c r="E131" s="11"/>
      <c r="F131" s="11"/>
      <c r="J131" s="233"/>
      <c r="K131" s="233"/>
      <c r="L131" s="233"/>
      <c r="M131" s="233"/>
    </row>
    <row r="132" spans="1:13" s="199" customFormat="1" ht="15">
      <c r="A132" s="11"/>
      <c r="B132" s="11"/>
      <c r="C132" s="11"/>
      <c r="D132" s="11"/>
      <c r="E132" s="11"/>
      <c r="F132" s="11"/>
      <c r="J132" s="233"/>
      <c r="K132" s="233"/>
      <c r="L132" s="233"/>
      <c r="M132" s="233"/>
    </row>
    <row r="133" spans="1:13" s="199" customFormat="1" ht="15">
      <c r="A133" s="11"/>
      <c r="B133" s="11"/>
      <c r="C133" s="11"/>
      <c r="D133" s="11"/>
      <c r="E133" s="11"/>
      <c r="F133" s="11"/>
      <c r="J133" s="233"/>
      <c r="K133" s="233"/>
      <c r="L133" s="233"/>
      <c r="M133" s="233"/>
    </row>
    <row r="134" spans="1:13" s="199" customFormat="1" ht="15">
      <c r="A134" s="11"/>
      <c r="B134" s="11"/>
      <c r="C134" s="11"/>
      <c r="D134" s="11"/>
      <c r="E134" s="11"/>
      <c r="F134" s="11"/>
      <c r="J134" s="233"/>
      <c r="K134" s="233"/>
      <c r="L134" s="233"/>
      <c r="M134" s="233"/>
    </row>
    <row r="135" spans="1:13" s="199" customFormat="1" ht="15">
      <c r="A135" s="11"/>
      <c r="B135" s="11"/>
      <c r="C135" s="11"/>
      <c r="D135" s="11"/>
      <c r="E135" s="11"/>
      <c r="F135" s="11"/>
      <c r="J135" s="233"/>
      <c r="K135" s="233"/>
      <c r="L135" s="233"/>
      <c r="M135" s="233"/>
    </row>
    <row r="136" spans="1:13" s="199" customFormat="1" ht="15">
      <c r="A136" s="11"/>
      <c r="B136" s="11"/>
      <c r="C136" s="11"/>
      <c r="D136" s="11"/>
      <c r="E136" s="11"/>
      <c r="F136" s="11"/>
      <c r="J136" s="233"/>
      <c r="K136" s="233"/>
      <c r="L136" s="233"/>
      <c r="M136" s="233"/>
    </row>
    <row r="137" spans="1:13" s="199" customFormat="1" ht="15">
      <c r="A137" s="11"/>
      <c r="B137" s="11"/>
      <c r="C137" s="11"/>
      <c r="D137" s="11"/>
      <c r="E137" s="11"/>
      <c r="F137" s="11"/>
      <c r="J137" s="233"/>
      <c r="K137" s="233"/>
      <c r="L137" s="233"/>
      <c r="M137" s="233"/>
    </row>
    <row r="138" spans="1:13" s="199" customFormat="1" ht="15">
      <c r="A138" s="11"/>
      <c r="B138" s="11"/>
      <c r="C138" s="11"/>
      <c r="D138" s="11"/>
      <c r="E138" s="11"/>
      <c r="F138" s="11"/>
      <c r="J138" s="233"/>
      <c r="K138" s="233"/>
      <c r="L138" s="233"/>
      <c r="M138" s="233"/>
    </row>
    <row r="139" spans="1:13" s="199" customFormat="1" ht="15">
      <c r="A139" s="11"/>
      <c r="B139" s="11"/>
      <c r="C139" s="11"/>
      <c r="D139" s="11"/>
      <c r="E139" s="11"/>
      <c r="F139" s="11"/>
      <c r="J139" s="233"/>
      <c r="K139" s="233"/>
      <c r="L139" s="233"/>
      <c r="M139" s="233"/>
    </row>
    <row r="140" spans="1:13" s="199" customFormat="1" ht="15">
      <c r="A140" s="11"/>
      <c r="B140" s="11"/>
      <c r="C140" s="11"/>
      <c r="D140" s="11"/>
      <c r="E140" s="11"/>
      <c r="F140" s="11"/>
      <c r="J140" s="233"/>
      <c r="K140" s="233"/>
      <c r="L140" s="233"/>
      <c r="M140" s="233"/>
    </row>
    <row r="141" spans="1:13" s="199" customFormat="1" ht="15">
      <c r="A141" s="11"/>
      <c r="B141" s="11"/>
      <c r="C141" s="11"/>
      <c r="D141" s="11"/>
      <c r="E141" s="11"/>
      <c r="F141" s="11"/>
      <c r="J141" s="233"/>
      <c r="K141" s="233"/>
      <c r="L141" s="233"/>
      <c r="M141" s="233"/>
    </row>
    <row r="142" spans="1:13" s="199" customFormat="1" ht="15">
      <c r="A142" s="11"/>
      <c r="B142" s="11"/>
      <c r="C142" s="11"/>
      <c r="D142" s="11"/>
      <c r="E142" s="11"/>
      <c r="F142" s="11"/>
      <c r="J142" s="233"/>
      <c r="K142" s="233"/>
      <c r="L142" s="233"/>
      <c r="M142" s="233"/>
    </row>
    <row r="143" spans="1:13" s="199" customFormat="1" ht="15">
      <c r="A143" s="11"/>
      <c r="B143" s="11"/>
      <c r="C143" s="11"/>
      <c r="D143" s="11"/>
      <c r="E143" s="11"/>
      <c r="F143" s="11"/>
      <c r="J143" s="233"/>
      <c r="K143" s="233"/>
      <c r="L143" s="233"/>
      <c r="M143" s="233"/>
    </row>
    <row r="144" spans="1:13" s="199" customFormat="1" ht="15" hidden="1">
      <c r="A144" s="11"/>
      <c r="B144" s="11"/>
      <c r="C144" s="11"/>
      <c r="D144" s="11"/>
      <c r="E144" s="11"/>
      <c r="F144" s="11"/>
      <c r="J144" s="233"/>
      <c r="K144" s="233"/>
      <c r="L144" s="233"/>
      <c r="M144" s="233"/>
    </row>
    <row r="145" spans="1:13" s="199" customFormat="1" ht="15">
      <c r="A145" s="11"/>
      <c r="B145" s="11"/>
      <c r="C145" s="11"/>
      <c r="D145" s="11"/>
      <c r="E145" s="11"/>
      <c r="F145" s="11"/>
      <c r="J145" s="233"/>
      <c r="K145" s="233"/>
      <c r="L145" s="233"/>
      <c r="M145" s="233"/>
    </row>
    <row r="146" spans="1:13" s="199" customFormat="1" ht="15">
      <c r="A146" s="11"/>
      <c r="B146" s="11"/>
      <c r="C146" s="11"/>
      <c r="D146" s="11"/>
      <c r="E146" s="11"/>
      <c r="F146" s="11"/>
      <c r="J146" s="233"/>
      <c r="K146" s="233"/>
      <c r="L146" s="233"/>
      <c r="M146" s="233"/>
    </row>
    <row r="147" spans="1:13" s="199" customFormat="1" ht="15">
      <c r="A147" s="11"/>
      <c r="B147" s="11"/>
      <c r="C147" s="11"/>
      <c r="D147" s="11"/>
      <c r="E147" s="11"/>
      <c r="F147" s="11"/>
      <c r="J147" s="233"/>
      <c r="K147" s="233"/>
      <c r="L147" s="233"/>
      <c r="M147" s="233"/>
    </row>
    <row r="148" spans="1:13" s="199" customFormat="1" ht="15">
      <c r="A148" s="11"/>
      <c r="B148" s="11"/>
      <c r="C148" s="11"/>
      <c r="D148" s="11"/>
      <c r="E148" s="11"/>
      <c r="F148" s="11"/>
      <c r="J148" s="233"/>
      <c r="K148" s="233"/>
      <c r="L148" s="233"/>
      <c r="M148" s="233"/>
    </row>
    <row r="149" spans="1:13" s="199" customFormat="1" ht="15">
      <c r="A149" s="11"/>
      <c r="B149" s="11"/>
      <c r="C149" s="11"/>
      <c r="D149" s="11"/>
      <c r="E149" s="11"/>
      <c r="F149" s="11"/>
      <c r="J149" s="233"/>
      <c r="K149" s="233"/>
      <c r="L149" s="233"/>
      <c r="M149" s="233"/>
    </row>
    <row r="150" spans="1:13" s="123" customFormat="1" ht="15">
      <c r="A150" s="11"/>
      <c r="B150" s="11"/>
      <c r="C150" s="11"/>
      <c r="D150" s="11"/>
      <c r="E150" s="11"/>
      <c r="F150" s="11"/>
      <c r="J150" s="155"/>
      <c r="K150" s="155"/>
      <c r="L150" s="155"/>
      <c r="M150" s="155"/>
    </row>
    <row r="151" spans="1:13" s="123" customFormat="1" ht="15">
      <c r="A151" s="11"/>
      <c r="B151" s="11"/>
      <c r="C151" s="11"/>
      <c r="D151" s="11"/>
      <c r="E151" s="11"/>
      <c r="F151" s="11"/>
      <c r="J151" s="155"/>
      <c r="K151" s="155"/>
      <c r="L151" s="155"/>
      <c r="M151" s="155"/>
    </row>
    <row r="152" spans="1:13" s="123" customFormat="1" ht="15">
      <c r="A152" s="11"/>
      <c r="B152" s="11"/>
      <c r="C152" s="11"/>
      <c r="D152" s="11"/>
      <c r="E152" s="11"/>
      <c r="F152" s="11"/>
      <c r="J152" s="155"/>
      <c r="K152" s="155"/>
      <c r="L152" s="155"/>
      <c r="M152" s="155"/>
    </row>
    <row r="153" spans="1:13" s="123" customFormat="1" ht="15">
      <c r="A153" s="11"/>
      <c r="B153" s="11"/>
      <c r="C153" s="11"/>
      <c r="D153" s="11"/>
      <c r="E153" s="11"/>
      <c r="F153" s="11"/>
      <c r="J153" s="155"/>
      <c r="K153" s="155"/>
      <c r="L153" s="155"/>
      <c r="M153" s="155"/>
    </row>
    <row r="154" spans="1:13" s="123" customFormat="1" ht="15">
      <c r="A154" s="11"/>
      <c r="B154" s="11"/>
      <c r="C154" s="11"/>
      <c r="D154" s="11"/>
      <c r="E154" s="11"/>
      <c r="F154" s="11"/>
      <c r="J154" s="155"/>
      <c r="K154" s="155"/>
      <c r="L154" s="155"/>
      <c r="M154" s="155"/>
    </row>
    <row r="155" spans="1:13" s="123" customFormat="1" ht="15">
      <c r="A155" s="11"/>
      <c r="B155" s="11"/>
      <c r="C155" s="11"/>
      <c r="D155" s="11"/>
      <c r="E155" s="11"/>
      <c r="F155" s="11"/>
      <c r="J155" s="155"/>
      <c r="K155" s="155"/>
      <c r="L155" s="155"/>
      <c r="M155" s="155"/>
    </row>
    <row r="156" spans="1:13" s="123" customFormat="1" ht="11.25" customHeight="1">
      <c r="A156" s="11"/>
      <c r="B156" s="11"/>
      <c r="C156" s="11"/>
      <c r="D156" s="11"/>
      <c r="E156" s="11"/>
      <c r="F156" s="11"/>
      <c r="J156" s="155"/>
      <c r="K156" s="155"/>
      <c r="L156" s="155"/>
      <c r="M156" s="155"/>
    </row>
    <row r="157" spans="1:13" s="123" customFormat="1" ht="15">
      <c r="A157" s="11"/>
      <c r="B157" s="11"/>
      <c r="C157" s="11"/>
      <c r="D157" s="11"/>
      <c r="E157" s="11"/>
      <c r="F157" s="11"/>
      <c r="J157" s="155"/>
      <c r="K157" s="155"/>
      <c r="L157" s="155"/>
      <c r="M157" s="155"/>
    </row>
    <row r="158" spans="1:13" s="123" customFormat="1" ht="15">
      <c r="A158" s="11"/>
      <c r="B158" s="11"/>
      <c r="C158" s="11"/>
      <c r="D158" s="11"/>
      <c r="E158" s="11"/>
      <c r="F158" s="11"/>
      <c r="J158" s="155"/>
      <c r="K158" s="155"/>
      <c r="L158" s="155"/>
      <c r="M158" s="155"/>
    </row>
    <row r="159" spans="1:13" s="123" customFormat="1" ht="15">
      <c r="A159" s="11"/>
      <c r="B159" s="11"/>
      <c r="C159" s="11"/>
      <c r="D159" s="11"/>
      <c r="E159" s="11"/>
      <c r="F159" s="11"/>
      <c r="J159" s="155"/>
      <c r="K159" s="155"/>
      <c r="L159" s="155"/>
      <c r="M159" s="155"/>
    </row>
    <row r="160" spans="1:13" s="123" customFormat="1" ht="15">
      <c r="A160" s="11"/>
      <c r="B160" s="11"/>
      <c r="C160" s="11"/>
      <c r="D160" s="11"/>
      <c r="E160" s="11"/>
      <c r="F160" s="11"/>
      <c r="J160" s="155"/>
      <c r="K160" s="155"/>
      <c r="L160" s="155"/>
      <c r="M160" s="155"/>
    </row>
    <row r="161" spans="1:13" s="123" customFormat="1" ht="15">
      <c r="A161" s="11"/>
      <c r="B161" s="11"/>
      <c r="C161" s="11"/>
      <c r="D161" s="11"/>
      <c r="E161" s="11"/>
      <c r="F161" s="11"/>
      <c r="J161" s="155"/>
      <c r="K161" s="155"/>
      <c r="L161" s="155"/>
      <c r="M161" s="155"/>
    </row>
    <row r="162" spans="1:13" s="123" customFormat="1" ht="15">
      <c r="A162" s="11"/>
      <c r="B162" s="11"/>
      <c r="C162" s="11"/>
      <c r="D162" s="11"/>
      <c r="E162" s="11"/>
      <c r="F162" s="11"/>
      <c r="J162" s="155"/>
      <c r="K162" s="155"/>
      <c r="L162" s="155"/>
      <c r="M162" s="155"/>
    </row>
    <row r="163" spans="1:13" s="123" customFormat="1" ht="15">
      <c r="A163" s="11"/>
      <c r="B163" s="11"/>
      <c r="C163" s="11"/>
      <c r="D163" s="11"/>
      <c r="E163" s="11"/>
      <c r="F163" s="11"/>
      <c r="J163" s="155"/>
      <c r="K163" s="155"/>
      <c r="L163" s="155"/>
      <c r="M163" s="155"/>
    </row>
    <row r="164" spans="1:13" s="123" customFormat="1" ht="15">
      <c r="A164" s="11"/>
      <c r="B164" s="11"/>
      <c r="C164" s="11"/>
      <c r="D164" s="11"/>
      <c r="E164" s="11"/>
      <c r="F164" s="11"/>
      <c r="J164" s="155"/>
      <c r="K164" s="155"/>
      <c r="L164" s="155"/>
      <c r="M164" s="155"/>
    </row>
    <row r="165" spans="1:13" s="123" customFormat="1" ht="15">
      <c r="A165" s="11"/>
      <c r="B165" s="11"/>
      <c r="C165" s="11"/>
      <c r="D165" s="11"/>
      <c r="E165" s="11"/>
      <c r="F165" s="11"/>
      <c r="J165" s="155"/>
      <c r="K165" s="155"/>
      <c r="L165" s="155"/>
      <c r="M165" s="155"/>
    </row>
    <row r="166" spans="1:13" s="123" customFormat="1" ht="15">
      <c r="A166" s="11"/>
      <c r="B166" s="11"/>
      <c r="C166" s="11"/>
      <c r="D166" s="11"/>
      <c r="E166" s="11"/>
      <c r="F166" s="11"/>
      <c r="J166" s="155"/>
      <c r="K166" s="155"/>
      <c r="L166" s="155"/>
      <c r="M166" s="155"/>
    </row>
    <row r="167" spans="1:6" s="124" customFormat="1" ht="15">
      <c r="A167" s="11"/>
      <c r="B167" s="11"/>
      <c r="C167" s="11"/>
      <c r="D167" s="11"/>
      <c r="E167" s="11"/>
      <c r="F167" s="11"/>
    </row>
    <row r="168" spans="1:6" s="124" customFormat="1" ht="15">
      <c r="A168" s="11"/>
      <c r="B168" s="11"/>
      <c r="C168" s="11"/>
      <c r="D168" s="11"/>
      <c r="E168" s="11"/>
      <c r="F168" s="11"/>
    </row>
    <row r="169" spans="1:6" s="124" customFormat="1" ht="15">
      <c r="A169" s="11"/>
      <c r="B169" s="11"/>
      <c r="C169" s="11"/>
      <c r="D169" s="11"/>
      <c r="E169" s="11"/>
      <c r="F169" s="11"/>
    </row>
    <row r="170" spans="1:6" s="124" customFormat="1" ht="15">
      <c r="A170" s="11"/>
      <c r="B170" s="11"/>
      <c r="C170" s="11"/>
      <c r="D170" s="11"/>
      <c r="E170" s="11"/>
      <c r="F170" s="11"/>
    </row>
    <row r="171" spans="1:6" s="124" customFormat="1" ht="15">
      <c r="A171" s="11"/>
      <c r="B171" s="11"/>
      <c r="C171" s="11"/>
      <c r="D171" s="11"/>
      <c r="E171" s="11"/>
      <c r="F171" s="11"/>
    </row>
    <row r="172" spans="1:6" s="124" customFormat="1" ht="15">
      <c r="A172" s="11"/>
      <c r="B172" s="11"/>
      <c r="C172" s="11"/>
      <c r="D172" s="11"/>
      <c r="E172" s="11"/>
      <c r="F172" s="11"/>
    </row>
    <row r="173" spans="1:6" s="124" customFormat="1" ht="15">
      <c r="A173" s="11"/>
      <c r="B173" s="11"/>
      <c r="C173" s="11"/>
      <c r="D173" s="11"/>
      <c r="E173" s="11"/>
      <c r="F173" s="11"/>
    </row>
    <row r="174" spans="1:6" s="124" customFormat="1" ht="15">
      <c r="A174" s="11"/>
      <c r="B174" s="11"/>
      <c r="C174" s="11"/>
      <c r="D174" s="11"/>
      <c r="E174" s="11"/>
      <c r="F174" s="11"/>
    </row>
    <row r="175" spans="1:6" s="124" customFormat="1" ht="15" customHeight="1">
      <c r="A175" s="11"/>
      <c r="B175" s="11"/>
      <c r="C175" s="11"/>
      <c r="D175" s="11"/>
      <c r="E175" s="11"/>
      <c r="F175" s="11"/>
    </row>
    <row r="176" spans="1:6" s="124" customFormat="1" ht="15" customHeight="1">
      <c r="A176" s="11"/>
      <c r="B176" s="11"/>
      <c r="C176" s="11"/>
      <c r="D176" s="11"/>
      <c r="E176" s="11"/>
      <c r="F176" s="11"/>
    </row>
    <row r="177" spans="1:6" s="124" customFormat="1" ht="15" customHeight="1">
      <c r="A177" s="11"/>
      <c r="B177" s="11"/>
      <c r="C177" s="11"/>
      <c r="D177" s="11"/>
      <c r="E177" s="11"/>
      <c r="F177" s="11"/>
    </row>
    <row r="178" spans="1:6" s="124" customFormat="1" ht="15" customHeight="1">
      <c r="A178" s="11"/>
      <c r="B178" s="11"/>
      <c r="C178" s="11"/>
      <c r="D178" s="11"/>
      <c r="E178" s="11"/>
      <c r="F178" s="11"/>
    </row>
    <row r="179" spans="1:6" s="124" customFormat="1" ht="15">
      <c r="A179" s="11"/>
      <c r="B179" s="11"/>
      <c r="C179" s="11"/>
      <c r="D179" s="11"/>
      <c r="E179" s="11"/>
      <c r="F179" s="11"/>
    </row>
    <row r="180" spans="1:6" s="124" customFormat="1" ht="15" hidden="1">
      <c r="A180" s="11"/>
      <c r="B180" s="11"/>
      <c r="C180" s="11"/>
      <c r="D180" s="11"/>
      <c r="E180" s="11"/>
      <c r="F180" s="11"/>
    </row>
    <row r="181" spans="1:6" s="124" customFormat="1" ht="15" hidden="1">
      <c r="A181" s="11"/>
      <c r="B181" s="11"/>
      <c r="C181" s="11"/>
      <c r="D181" s="11"/>
      <c r="E181" s="11"/>
      <c r="F181" s="11"/>
    </row>
    <row r="182" spans="1:6" s="124" customFormat="1" ht="15">
      <c r="A182" s="11"/>
      <c r="B182" s="11"/>
      <c r="C182" s="11"/>
      <c r="D182" s="11"/>
      <c r="E182" s="11"/>
      <c r="F182" s="11"/>
    </row>
    <row r="183" spans="1:6" s="124" customFormat="1" ht="15">
      <c r="A183" s="11"/>
      <c r="B183" s="11"/>
      <c r="C183" s="11"/>
      <c r="D183" s="11"/>
      <c r="E183" s="11"/>
      <c r="F183" s="11"/>
    </row>
    <row r="184" spans="1:6" s="124" customFormat="1" ht="12" customHeight="1">
      <c r="A184" s="11"/>
      <c r="B184" s="11"/>
      <c r="C184" s="11"/>
      <c r="D184" s="11"/>
      <c r="E184" s="11"/>
      <c r="F184" s="11"/>
    </row>
    <row r="185" spans="1:6" s="124" customFormat="1" ht="12" customHeight="1" hidden="1">
      <c r="A185" s="11"/>
      <c r="B185" s="11"/>
      <c r="C185" s="11"/>
      <c r="D185" s="11"/>
      <c r="E185" s="11"/>
      <c r="F185" s="11"/>
    </row>
    <row r="186" spans="1:6" s="124" customFormat="1" ht="12" customHeight="1">
      <c r="A186" s="11"/>
      <c r="B186" s="11"/>
      <c r="C186" s="11"/>
      <c r="D186" s="11"/>
      <c r="E186" s="11"/>
      <c r="F186" s="11"/>
    </row>
    <row r="187" spans="1:6" s="124" customFormat="1" ht="12" customHeight="1">
      <c r="A187" s="11"/>
      <c r="B187" s="11"/>
      <c r="C187" s="11"/>
      <c r="D187" s="11"/>
      <c r="E187" s="11"/>
      <c r="F187" s="11"/>
    </row>
    <row r="188" spans="1:6" s="124" customFormat="1" ht="12" customHeight="1">
      <c r="A188" s="11"/>
      <c r="B188" s="11"/>
      <c r="C188" s="11"/>
      <c r="D188" s="11"/>
      <c r="E188" s="11"/>
      <c r="F188" s="11"/>
    </row>
    <row r="189" spans="1:6" s="124" customFormat="1" ht="12" customHeight="1">
      <c r="A189" s="11"/>
      <c r="B189" s="11"/>
      <c r="C189" s="11"/>
      <c r="D189" s="11"/>
      <c r="E189" s="11"/>
      <c r="F189" s="11"/>
    </row>
    <row r="190" spans="1:6" s="124" customFormat="1" ht="12" customHeight="1">
      <c r="A190" s="11"/>
      <c r="B190" s="11"/>
      <c r="C190" s="11"/>
      <c r="D190" s="11"/>
      <c r="E190" s="11"/>
      <c r="F190" s="11"/>
    </row>
    <row r="191" spans="1:6" s="124" customFormat="1" ht="11.25" customHeight="1">
      <c r="A191" s="11"/>
      <c r="B191" s="11"/>
      <c r="C191" s="11"/>
      <c r="D191" s="11"/>
      <c r="E191" s="11"/>
      <c r="F191" s="11"/>
    </row>
    <row r="192" spans="1:6" s="124" customFormat="1" ht="11.25" customHeight="1">
      <c r="A192" s="11"/>
      <c r="B192" s="11"/>
      <c r="C192" s="11"/>
      <c r="D192" s="11"/>
      <c r="E192" s="11"/>
      <c r="F192" s="11"/>
    </row>
    <row r="193" spans="1:6" s="124" customFormat="1" ht="12" customHeight="1">
      <c r="A193" s="11"/>
      <c r="B193" s="11"/>
      <c r="C193" s="11"/>
      <c r="D193" s="11"/>
      <c r="E193" s="11"/>
      <c r="F193" s="11"/>
    </row>
    <row r="194" spans="1:6" s="123" customFormat="1" ht="15">
      <c r="A194" s="11"/>
      <c r="B194" s="11"/>
      <c r="C194" s="11"/>
      <c r="D194" s="11"/>
      <c r="E194" s="11"/>
      <c r="F194" s="11"/>
    </row>
    <row r="195" spans="1:7" s="123" customFormat="1" ht="18.75" customHeight="1">
      <c r="A195" s="11"/>
      <c r="B195" s="11"/>
      <c r="C195" s="11"/>
      <c r="D195" s="11"/>
      <c r="E195" s="11"/>
      <c r="F195" s="11"/>
      <c r="G195" s="124"/>
    </row>
    <row r="196" spans="1:7" s="123" customFormat="1" ht="18.75" customHeight="1">
      <c r="A196" s="11"/>
      <c r="B196" s="11"/>
      <c r="C196" s="11"/>
      <c r="D196" s="11"/>
      <c r="E196" s="11"/>
      <c r="F196" s="11"/>
      <c r="G196" s="124"/>
    </row>
    <row r="197" spans="1:7" s="123" customFormat="1" ht="18.75" customHeight="1" hidden="1">
      <c r="A197" s="11"/>
      <c r="B197" s="11"/>
      <c r="C197" s="11"/>
      <c r="D197" s="11"/>
      <c r="E197" s="11"/>
      <c r="F197" s="11"/>
      <c r="G197" s="124"/>
    </row>
    <row r="198" spans="1:7" s="123" customFormat="1" ht="10.5" customHeight="1">
      <c r="A198" s="11"/>
      <c r="B198" s="11"/>
      <c r="C198" s="11"/>
      <c r="D198" s="11"/>
      <c r="E198" s="11"/>
      <c r="F198" s="11"/>
      <c r="G198" s="124"/>
    </row>
    <row r="199" spans="1:7" s="123" customFormat="1" ht="24" customHeight="1">
      <c r="A199" s="11"/>
      <c r="B199" s="11"/>
      <c r="C199" s="11"/>
      <c r="D199" s="11"/>
      <c r="E199" s="11"/>
      <c r="F199" s="11"/>
      <c r="G199" s="124"/>
    </row>
    <row r="200" spans="1:7" s="123" customFormat="1" ht="24" customHeight="1">
      <c r="A200" s="11"/>
      <c r="B200" s="11"/>
      <c r="C200" s="11"/>
      <c r="D200" s="11"/>
      <c r="E200" s="11"/>
      <c r="F200" s="11"/>
      <c r="G200" s="124"/>
    </row>
    <row r="201" spans="1:7" s="123" customFormat="1" ht="15">
      <c r="A201" s="11"/>
      <c r="B201" s="11"/>
      <c r="C201" s="11"/>
      <c r="D201" s="11"/>
      <c r="E201" s="11"/>
      <c r="F201" s="11"/>
      <c r="G201" s="124"/>
    </row>
    <row r="202" spans="1:7" s="123" customFormat="1" ht="15">
      <c r="A202" s="11"/>
      <c r="B202" s="11"/>
      <c r="C202" s="11"/>
      <c r="D202" s="11"/>
      <c r="E202" s="11"/>
      <c r="F202" s="11"/>
      <c r="G202" s="124"/>
    </row>
    <row r="203" spans="1:7" s="123" customFormat="1" ht="15">
      <c r="A203" s="11"/>
      <c r="B203" s="11"/>
      <c r="C203" s="11"/>
      <c r="D203" s="11"/>
      <c r="E203" s="11"/>
      <c r="F203" s="11"/>
      <c r="G203" s="124"/>
    </row>
    <row r="204" spans="1:7" s="123" customFormat="1" ht="15">
      <c r="A204" s="11"/>
      <c r="B204" s="11"/>
      <c r="C204" s="11"/>
      <c r="D204" s="11"/>
      <c r="E204" s="11"/>
      <c r="F204" s="11"/>
      <c r="G204" s="124"/>
    </row>
    <row r="205" spans="1:7" s="123" customFormat="1" ht="15">
      <c r="A205" s="11"/>
      <c r="B205" s="11"/>
      <c r="C205" s="11"/>
      <c r="D205" s="11"/>
      <c r="E205" s="11"/>
      <c r="F205" s="11"/>
      <c r="G205" s="124"/>
    </row>
    <row r="206" spans="1:7" s="123" customFormat="1" ht="15">
      <c r="A206" s="11"/>
      <c r="B206" s="11"/>
      <c r="C206" s="11"/>
      <c r="D206" s="11"/>
      <c r="E206" s="11"/>
      <c r="F206" s="11"/>
      <c r="G206" s="124"/>
    </row>
    <row r="207" spans="1:7" s="123" customFormat="1" ht="15">
      <c r="A207" s="11"/>
      <c r="B207" s="11"/>
      <c r="C207" s="11"/>
      <c r="D207" s="11"/>
      <c r="E207" s="11"/>
      <c r="F207" s="11"/>
      <c r="G207" s="124"/>
    </row>
    <row r="208" spans="1:7" s="123" customFormat="1" ht="17.25" customHeight="1">
      <c r="A208" s="11"/>
      <c r="B208" s="11"/>
      <c r="C208" s="11"/>
      <c r="D208" s="11"/>
      <c r="E208" s="11"/>
      <c r="F208" s="11"/>
      <c r="G208" s="124"/>
    </row>
    <row r="209" spans="1:7" s="123" customFormat="1" ht="16.5" customHeight="1">
      <c r="A209" s="11"/>
      <c r="B209" s="11"/>
      <c r="C209" s="11"/>
      <c r="D209" s="11"/>
      <c r="E209" s="11"/>
      <c r="F209" s="11"/>
      <c r="G209" s="124"/>
    </row>
    <row r="210" spans="1:7" s="123" customFormat="1" ht="15">
      <c r="A210" s="11"/>
      <c r="B210" s="11"/>
      <c r="C210" s="11"/>
      <c r="D210" s="11"/>
      <c r="E210" s="11"/>
      <c r="F210" s="11"/>
      <c r="G210" s="124"/>
    </row>
    <row r="211" spans="1:6" s="199" customFormat="1" ht="15.75" customHeight="1">
      <c r="A211" s="11"/>
      <c r="B211" s="11"/>
      <c r="C211" s="11"/>
      <c r="D211" s="11"/>
      <c r="E211" s="11"/>
      <c r="F211" s="11"/>
    </row>
    <row r="212" spans="1:6" s="123" customFormat="1" ht="15">
      <c r="A212" s="11"/>
      <c r="B212" s="11"/>
      <c r="C212" s="11"/>
      <c r="D212" s="11"/>
      <c r="E212" s="11"/>
      <c r="F212" s="11"/>
    </row>
    <row r="213" spans="1:6" s="123" customFormat="1" ht="15">
      <c r="A213" s="11"/>
      <c r="B213" s="11"/>
      <c r="C213" s="11"/>
      <c r="D213" s="11"/>
      <c r="E213" s="11"/>
      <c r="F213" s="11"/>
    </row>
    <row r="214" spans="1:6" s="123" customFormat="1" ht="15">
      <c r="A214" s="11"/>
      <c r="B214" s="11"/>
      <c r="C214" s="11"/>
      <c r="D214" s="11"/>
      <c r="E214" s="11"/>
      <c r="F214" s="11"/>
    </row>
    <row r="215" spans="1:6" s="123" customFormat="1" ht="15">
      <c r="A215" s="11"/>
      <c r="B215" s="11"/>
      <c r="C215" s="11"/>
      <c r="D215" s="11"/>
      <c r="E215" s="11"/>
      <c r="F215" s="11"/>
    </row>
    <row r="216" spans="1:6" s="123" customFormat="1" ht="15">
      <c r="A216" s="11"/>
      <c r="B216" s="11"/>
      <c r="C216" s="11"/>
      <c r="D216" s="11"/>
      <c r="E216" s="11"/>
      <c r="F216" s="11"/>
    </row>
    <row r="217" spans="1:6" s="123" customFormat="1" ht="16.5" customHeight="1">
      <c r="A217" s="11"/>
      <c r="B217" s="11"/>
      <c r="C217" s="11"/>
      <c r="D217" s="11"/>
      <c r="E217" s="11"/>
      <c r="F217" s="11"/>
    </row>
    <row r="218" spans="1:6" s="123" customFormat="1" ht="15">
      <c r="A218" s="11"/>
      <c r="B218" s="11"/>
      <c r="C218" s="11"/>
      <c r="D218" s="11"/>
      <c r="E218" s="11"/>
      <c r="F218" s="11"/>
    </row>
    <row r="219" spans="1:6" s="123" customFormat="1" ht="23.25" customHeight="1">
      <c r="A219" s="11"/>
      <c r="B219" s="11"/>
      <c r="C219" s="11"/>
      <c r="D219" s="11"/>
      <c r="E219" s="11"/>
      <c r="F219" s="11"/>
    </row>
    <row r="220" spans="1:6" s="123" customFormat="1" ht="23.25" customHeight="1">
      <c r="A220" s="11"/>
      <c r="B220" s="11"/>
      <c r="C220" s="11"/>
      <c r="D220" s="11"/>
      <c r="E220" s="11"/>
      <c r="F220" s="11"/>
    </row>
    <row r="221" spans="1:6" s="123" customFormat="1" ht="15">
      <c r="A221" s="11"/>
      <c r="B221" s="11"/>
      <c r="C221" s="11"/>
      <c r="D221" s="11"/>
      <c r="E221" s="11"/>
      <c r="F221" s="11"/>
    </row>
    <row r="222" spans="1:6" s="123" customFormat="1" ht="15">
      <c r="A222" s="11"/>
      <c r="B222" s="11"/>
      <c r="C222" s="11"/>
      <c r="D222" s="11"/>
      <c r="E222" s="11"/>
      <c r="F222" s="11"/>
    </row>
    <row r="223" spans="1:6" s="123" customFormat="1" ht="15">
      <c r="A223" s="11"/>
      <c r="B223" s="11"/>
      <c r="C223" s="11"/>
      <c r="D223" s="11"/>
      <c r="E223" s="11"/>
      <c r="F223" s="11"/>
    </row>
    <row r="224" spans="1:6" s="123" customFormat="1" ht="15">
      <c r="A224" s="11"/>
      <c r="B224" s="11"/>
      <c r="C224" s="11"/>
      <c r="D224" s="11"/>
      <c r="E224" s="11"/>
      <c r="F224" s="11"/>
    </row>
    <row r="225" spans="1:6" s="123" customFormat="1" ht="15">
      <c r="A225" s="11"/>
      <c r="B225" s="11"/>
      <c r="C225" s="11"/>
      <c r="D225" s="11"/>
      <c r="E225" s="11"/>
      <c r="F225" s="11"/>
    </row>
    <row r="226" spans="1:6" s="123" customFormat="1" ht="15">
      <c r="A226" s="11"/>
      <c r="B226" s="11"/>
      <c r="C226" s="11"/>
      <c r="D226" s="11"/>
      <c r="E226" s="11"/>
      <c r="F226" s="11"/>
    </row>
    <row r="227" spans="1:6" s="123" customFormat="1" ht="15">
      <c r="A227" s="11"/>
      <c r="B227" s="11"/>
      <c r="C227" s="11"/>
      <c r="D227" s="11"/>
      <c r="E227" s="11"/>
      <c r="F227" s="11"/>
    </row>
    <row r="228" spans="1:6" s="123" customFormat="1" ht="15">
      <c r="A228" s="11"/>
      <c r="B228" s="11"/>
      <c r="C228" s="11"/>
      <c r="D228" s="11"/>
      <c r="E228" s="11"/>
      <c r="F228" s="11"/>
    </row>
    <row r="229" spans="1:6" s="123" customFormat="1" ht="12" customHeight="1">
      <c r="A229" s="11"/>
      <c r="B229" s="11"/>
      <c r="C229" s="11"/>
      <c r="D229" s="11"/>
      <c r="E229" s="11"/>
      <c r="F229" s="11"/>
    </row>
    <row r="230" spans="1:6" s="123" customFormat="1" ht="12" customHeight="1">
      <c r="A230" s="11"/>
      <c r="B230" s="11"/>
      <c r="C230" s="11"/>
      <c r="D230" s="11"/>
      <c r="E230" s="11"/>
      <c r="F230" s="11"/>
    </row>
    <row r="231" spans="1:6" s="123" customFormat="1" ht="12" customHeight="1">
      <c r="A231" s="11"/>
      <c r="B231" s="11"/>
      <c r="C231" s="11"/>
      <c r="D231" s="11"/>
      <c r="E231" s="11"/>
      <c r="F231" s="11"/>
    </row>
    <row r="232" spans="1:6" s="123" customFormat="1" ht="12" customHeight="1">
      <c r="A232" s="11"/>
      <c r="B232" s="11"/>
      <c r="C232" s="11"/>
      <c r="D232" s="11"/>
      <c r="E232" s="11"/>
      <c r="F232" s="11"/>
    </row>
    <row r="233" spans="1:6" s="123" customFormat="1" ht="12" customHeight="1">
      <c r="A233" s="11"/>
      <c r="B233" s="11"/>
      <c r="C233" s="11"/>
      <c r="D233" s="11"/>
      <c r="E233" s="11"/>
      <c r="F233" s="11"/>
    </row>
    <row r="234" spans="1:6" s="123" customFormat="1" ht="15">
      <c r="A234" s="11"/>
      <c r="B234" s="11"/>
      <c r="C234" s="11"/>
      <c r="D234" s="11"/>
      <c r="E234" s="11"/>
      <c r="F234" s="11"/>
    </row>
    <row r="235" spans="1:6" s="123" customFormat="1" ht="15">
      <c r="A235" s="11"/>
      <c r="B235" s="11"/>
      <c r="C235" s="11"/>
      <c r="D235" s="11"/>
      <c r="E235" s="11"/>
      <c r="F235" s="11"/>
    </row>
    <row r="236" spans="1:6" s="123" customFormat="1" ht="15">
      <c r="A236" s="11"/>
      <c r="B236" s="11"/>
      <c r="C236" s="11"/>
      <c r="D236" s="11"/>
      <c r="E236" s="11"/>
      <c r="F236" s="11"/>
    </row>
    <row r="237" spans="1:6" s="123" customFormat="1" ht="15">
      <c r="A237" s="11"/>
      <c r="B237" s="11"/>
      <c r="C237" s="11"/>
      <c r="D237" s="11"/>
      <c r="E237" s="11"/>
      <c r="F237" s="11"/>
    </row>
    <row r="238" spans="1:6" s="123" customFormat="1" ht="15">
      <c r="A238" s="11"/>
      <c r="B238" s="11"/>
      <c r="C238" s="11"/>
      <c r="D238" s="11"/>
      <c r="E238" s="11"/>
      <c r="F238" s="11"/>
    </row>
    <row r="239" spans="1:6" s="123" customFormat="1" ht="15">
      <c r="A239" s="11"/>
      <c r="B239" s="11"/>
      <c r="C239" s="11"/>
      <c r="D239" s="11"/>
      <c r="E239" s="11"/>
      <c r="F239" s="11"/>
    </row>
    <row r="240" spans="1:6" s="123" customFormat="1" ht="13.5" customHeight="1">
      <c r="A240" s="11"/>
      <c r="B240" s="11"/>
      <c r="C240" s="11"/>
      <c r="D240" s="11"/>
      <c r="E240" s="11"/>
      <c r="F240" s="11"/>
    </row>
    <row r="241" spans="1:6" s="123" customFormat="1" ht="18" customHeight="1">
      <c r="A241" s="11"/>
      <c r="B241" s="11"/>
      <c r="C241" s="11"/>
      <c r="D241" s="11"/>
      <c r="E241" s="11"/>
      <c r="F241" s="11"/>
    </row>
    <row r="242" spans="1:6" s="123" customFormat="1" ht="15">
      <c r="A242" s="11"/>
      <c r="B242" s="11"/>
      <c r="C242" s="11"/>
      <c r="D242" s="11"/>
      <c r="E242" s="11"/>
      <c r="F242" s="11"/>
    </row>
    <row r="243" spans="1:7" s="123" customFormat="1" ht="12" customHeight="1">
      <c r="A243" s="11"/>
      <c r="B243" s="11"/>
      <c r="C243" s="11"/>
      <c r="D243" s="11"/>
      <c r="E243" s="11"/>
      <c r="F243" s="11"/>
      <c r="G243" s="271"/>
    </row>
    <row r="244" spans="1:6" s="123" customFormat="1" ht="23.25" customHeight="1">
      <c r="A244" s="11"/>
      <c r="B244" s="11"/>
      <c r="C244" s="11"/>
      <c r="D244" s="11"/>
      <c r="E244" s="11"/>
      <c r="F244" s="11"/>
    </row>
    <row r="245" spans="1:6" s="123" customFormat="1" ht="15">
      <c r="A245" s="11"/>
      <c r="B245" s="11"/>
      <c r="C245" s="11"/>
      <c r="D245" s="11"/>
      <c r="E245" s="11"/>
      <c r="F245" s="11"/>
    </row>
    <row r="246" spans="1:6" s="123" customFormat="1" ht="15">
      <c r="A246" s="11"/>
      <c r="B246" s="11"/>
      <c r="C246" s="11"/>
      <c r="D246" s="11"/>
      <c r="E246" s="11"/>
      <c r="F246" s="11"/>
    </row>
    <row r="256" ht="15" hidden="1"/>
    <row r="257" ht="15" hidden="1" thickBot="1"/>
  </sheetData>
  <sheetProtection algorithmName="SHA-512" hashValue="wgDLlA+vM4M2844CpdGFFAbRdcCF97wixwbrwzO6oYCfampw6zWMdszi12qeM5gn+bO73LeL8/umGgZdIqCf8w==" saltValue="SXx6KFektVpy5NU2uCSvIQ==" spinCount="100000" sheet="1" objects="1" scenarios="1"/>
  <mergeCells count="9">
    <mergeCell ref="A1:C3"/>
    <mergeCell ref="A4:C6"/>
    <mergeCell ref="A7:C9"/>
    <mergeCell ref="A19:B19"/>
    <mergeCell ref="A23:B23"/>
    <mergeCell ref="A10:G11"/>
    <mergeCell ref="A22:C22"/>
    <mergeCell ref="E13:G42"/>
    <mergeCell ref="F5:G9"/>
  </mergeCells>
  <conditionalFormatting sqref="A1">
    <cfRule type="cellIs" priority="8" dxfId="1" operator="equal">
      <formula>"Director eOrder"</formula>
    </cfRule>
    <cfRule type="cellIs" priority="9" dxfId="48" operator="equal">
      <formula>"NextGen eOrder"</formula>
    </cfRule>
    <cfRule type="cellIs" priority="10" dxfId="0" operator="equal">
      <formula>"Director eOrder"</formula>
    </cfRule>
    <cfRule type="containsText" priority="11" dxfId="0" operator="containsText" text="NextGen">
      <formula>NOT(ISERROR(SEARCH("NextGen",A1)))</formula>
    </cfRule>
  </conditionalFormatting>
  <conditionalFormatting sqref="A1:C9">
    <cfRule type="cellIs" priority="7" dxfId="44" operator="equal">
      <formula>"NextGen eOrder"</formula>
    </cfRule>
  </conditionalFormatting>
  <conditionalFormatting sqref="B12">
    <cfRule type="cellIs" priority="108" operator="equal">
      <formula>SUM(#REF!)</formula>
    </cfRule>
  </conditionalFormatting>
  <conditionalFormatting sqref="D5">
    <cfRule type="cellIs" priority="38" dxfId="44" operator="equal">
      <formula>"NextGen eOrder"</formula>
    </cfRule>
    <cfRule type="cellIs" priority="39" dxfId="1" operator="equal">
      <formula>"Director eOrder"</formula>
    </cfRule>
    <cfRule type="cellIs" priority="40" dxfId="48" operator="equal">
      <formula>"NextGen eOrder"</formula>
    </cfRule>
    <cfRule type="cellIs" priority="41" dxfId="0" operator="equal">
      <formula>"Director eOrder"</formula>
    </cfRule>
    <cfRule type="containsText" priority="42" dxfId="0" operator="containsText" text="NextGen">
      <formula>NOT(ISERROR(SEARCH("NextGen",D5)))</formula>
    </cfRule>
  </conditionalFormatting>
  <conditionalFormatting sqref="D40">
    <cfRule type="cellIs" priority="1" dxfId="76" operator="equal">
      <formula>"Yes"</formula>
    </cfRule>
  </conditionalFormatting>
  <conditionalFormatting sqref="F5">
    <cfRule type="cellIs" priority="2" dxfId="44" operator="equal">
      <formula>"NextGen eOrder"</formula>
    </cfRule>
    <cfRule type="cellIs" priority="3" dxfId="1" operator="equal">
      <formula>"Director eOrder"</formula>
    </cfRule>
    <cfRule type="cellIs" priority="4" dxfId="48" operator="equal">
      <formula>"NextGen eOrder"</formula>
    </cfRule>
    <cfRule type="cellIs" priority="5" dxfId="0" operator="equal">
      <formula>"Director eOrder"</formula>
    </cfRule>
    <cfRule type="containsText" priority="6" dxfId="0" operator="containsText" text="NextGen">
      <formula>NOT(ISERROR(SEARCH("NextGen",F5)))</formula>
    </cfRule>
  </conditionalFormatting>
  <conditionalFormatting sqref="A7">
    <cfRule type="cellIs" priority="119" dxfId="1" operator="equal">
      <formula>"Director eOrder"</formula>
    </cfRule>
    <cfRule type="cellIs" priority="120" dxfId="48" operator="equal">
      <formula>"NextGen eOrder"</formula>
    </cfRule>
    <cfRule type="cellIs" priority="121" dxfId="0" operator="equal">
      <formula>"Director eOrder"</formula>
    </cfRule>
    <cfRule type="containsText" priority="122" dxfId="0" operator="containsText" text="NextGen">
      <formula>NOT(ISERROR(SEARCH("NextGen",A7)))</formula>
    </cfRule>
  </conditionalFormatting>
  <conditionalFormatting sqref="A4">
    <cfRule type="cellIs" priority="123" dxfId="1" operator="equal">
      <formula>"Director eOrder"</formula>
    </cfRule>
    <cfRule type="cellIs" priority="124" dxfId="48" operator="equal">
      <formula>"NextGen eOrder"</formula>
    </cfRule>
    <cfRule type="cellIs" priority="125" dxfId="0" operator="equal">
      <formula>"Director eOrder"</formula>
    </cfRule>
    <cfRule type="containsText" priority="126" dxfId="0" operator="containsText" text="NextGen">
      <formula>NOT(ISERROR(SEARCH("NextGen",A4)))</formula>
    </cfRule>
  </conditionalFormatting>
  <dataValidations count="2">
    <dataValidation type="list" allowBlank="1" showInputMessage="1" showErrorMessage="1" sqref="A24:A29">
      <formula1>$A$1:$A$3</formula1>
    </dataValidation>
    <dataValidation type="list" allowBlank="1" showInputMessage="1" showErrorMessage="1" sqref="B39">
      <formula1>$G$14:$G$16</formula1>
    </dataValidation>
  </dataValidations>
  <pageMargins left="0.236220472440945" right="0.236220472440945" top="0.354330708661417" bottom="0.354330708661417" header="0.31496062992126" footer="0.31496062992126"/>
  <pageSetup orientation="landscape" paperSize="9" r:id="rId2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7A33-11FE-4FAB-A5F2-B1C317DD5573}">
  <dimension ref="A1:R26"/>
  <sheetViews>
    <sheetView showGridLines="0" showRowColHeaders="0" zoomScale="140" zoomScaleNormal="140" workbookViewId="0" topLeftCell="A1">
      <selection pane="topLeft" activeCell="D13" sqref="D13"/>
    </sheetView>
  </sheetViews>
  <sheetFormatPr defaultRowHeight="12.75"/>
  <cols>
    <col min="1" max="1" width="29.2857142857143" customWidth="1"/>
    <col min="2" max="2" width="5.14285714285714" customWidth="1"/>
    <col min="3" max="4" width="6.71428571428571" customWidth="1"/>
    <col min="5" max="5" width="5.42857142857143" customWidth="1"/>
    <col min="6" max="6" width="53.7142857142857" customWidth="1"/>
  </cols>
  <sheetData>
    <row r="1" spans="1:18" ht="8.25" customHeight="1">
      <c r="A1" s="562" t="s">
        <v>238</v>
      </c>
      <c r="B1" s="562"/>
      <c r="C1" s="562"/>
      <c r="D1" s="562"/>
      <c r="E1" s="562"/>
      <c r="F1" s="562"/>
      <c r="G1" s="562"/>
      <c r="H1" s="563"/>
      <c r="I1" s="248"/>
      <c r="J1" s="11"/>
      <c r="K1" s="11"/>
      <c r="L1" s="11"/>
      <c r="M1" s="11"/>
      <c r="N1" s="11"/>
      <c r="O1" s="277"/>
      <c r="P1" s="277"/>
      <c r="Q1" s="277"/>
      <c r="R1" s="11"/>
    </row>
    <row r="2" spans="1:18" ht="8.25" customHeight="1">
      <c r="A2" s="562"/>
      <c r="B2" s="562"/>
      <c r="C2" s="562"/>
      <c r="D2" s="562"/>
      <c r="E2" s="562"/>
      <c r="F2" s="562"/>
      <c r="G2" s="562"/>
      <c r="H2" s="563"/>
      <c r="I2" s="248"/>
      <c r="J2" s="11"/>
      <c r="K2" s="11"/>
      <c r="L2" s="11"/>
      <c r="M2" s="11"/>
      <c r="N2" s="11"/>
      <c r="O2" s="277"/>
      <c r="P2" s="277"/>
      <c r="Q2" s="277"/>
      <c r="R2" s="11"/>
    </row>
    <row r="3" spans="1:18" ht="8.25" customHeight="1">
      <c r="A3" s="562"/>
      <c r="B3" s="562"/>
      <c r="C3" s="562"/>
      <c r="D3" s="562"/>
      <c r="E3" s="562"/>
      <c r="F3" s="562"/>
      <c r="G3" s="562"/>
      <c r="H3" s="563"/>
      <c r="I3" s="248"/>
      <c r="J3" s="11"/>
      <c r="K3" s="11"/>
      <c r="L3" s="11"/>
      <c r="M3" s="11"/>
      <c r="N3" s="11"/>
      <c r="O3" s="277"/>
      <c r="P3" s="277"/>
      <c r="Q3" s="277"/>
      <c r="R3" s="11"/>
    </row>
    <row r="4" spans="1:18" ht="8.25" customHeight="1">
      <c r="A4" s="562"/>
      <c r="B4" s="562"/>
      <c r="C4" s="562"/>
      <c r="D4" s="562"/>
      <c r="E4" s="562"/>
      <c r="F4" s="562"/>
      <c r="G4" s="562"/>
      <c r="H4" s="563"/>
      <c r="I4" s="11"/>
      <c r="J4" s="11"/>
      <c r="K4" s="11"/>
      <c r="L4" s="11"/>
      <c r="M4" s="11"/>
      <c r="N4" s="11"/>
      <c r="O4" s="277"/>
      <c r="P4" s="277"/>
      <c r="Q4" s="277"/>
      <c r="R4" s="11"/>
    </row>
    <row r="5" spans="1:18" ht="8.25" customHeight="1">
      <c r="A5" s="581"/>
      <c r="B5" s="581"/>
      <c r="C5" s="581"/>
      <c r="D5" s="581"/>
      <c r="E5" s="581"/>
      <c r="F5" s="581"/>
      <c r="G5" s="581"/>
      <c r="H5" s="582"/>
      <c r="I5" s="11"/>
      <c r="J5" s="11"/>
      <c r="K5" s="11"/>
      <c r="L5" s="11"/>
      <c r="M5" s="11"/>
      <c r="N5" s="11"/>
      <c r="O5" s="277"/>
      <c r="P5" s="277"/>
      <c r="Q5" s="277"/>
      <c r="R5" s="11"/>
    </row>
    <row r="6" spans="1:18" ht="8.25" customHeight="1">
      <c r="A6" s="504" t="s">
        <v>233</v>
      </c>
      <c r="B6" s="504"/>
      <c r="C6" s="504"/>
      <c r="D6" s="504"/>
      <c r="E6" s="504"/>
      <c r="F6" s="504"/>
      <c r="G6" s="504"/>
      <c r="H6" s="504"/>
      <c r="I6" s="11"/>
      <c r="J6" s="11"/>
      <c r="K6" s="11"/>
      <c r="L6" s="11"/>
      <c r="M6" s="11"/>
      <c r="N6" s="11"/>
      <c r="O6" s="277"/>
      <c r="P6" s="277"/>
      <c r="Q6" s="277"/>
      <c r="R6" s="11"/>
    </row>
    <row r="7" spans="1:18" ht="8.25" customHeight="1">
      <c r="A7" s="505"/>
      <c r="B7" s="505"/>
      <c r="C7" s="505"/>
      <c r="D7" s="505"/>
      <c r="E7" s="505"/>
      <c r="F7" s="505"/>
      <c r="G7" s="505"/>
      <c r="H7" s="505"/>
      <c r="I7" s="11"/>
      <c r="J7" s="11"/>
      <c r="K7" s="11"/>
      <c r="L7" s="11"/>
      <c r="M7" s="11"/>
      <c r="N7" s="11"/>
      <c r="O7" s="277"/>
      <c r="P7" s="277"/>
      <c r="Q7" s="277"/>
      <c r="R7" s="11"/>
    </row>
    <row r="8" spans="1:8" ht="15">
      <c r="A8" s="120"/>
      <c r="B8" s="120"/>
      <c r="C8" s="121"/>
      <c r="D8" s="121"/>
      <c r="E8" s="121"/>
      <c r="F8" s="120"/>
      <c r="G8" s="120"/>
      <c r="H8" s="120"/>
    </row>
    <row r="9" spans="1:6" ht="15">
      <c r="A9" s="278" t="s">
        <v>234</v>
      </c>
      <c r="B9" s="279" t="s">
        <v>235</v>
      </c>
      <c r="C9" s="1"/>
      <c r="D9" s="1"/>
      <c r="E9" s="1"/>
      <c r="F9" s="1"/>
    </row>
    <row r="10" spans="1:8" ht="12.75">
      <c r="A10" s="280"/>
      <c r="B10" s="281" t="s">
        <v>236</v>
      </c>
      <c r="C10" s="281"/>
      <c r="D10" s="281"/>
      <c r="E10" s="281"/>
      <c r="F10" s="281"/>
      <c r="G10" s="281"/>
      <c r="H10" s="281"/>
    </row>
    <row r="11" ht="12.75">
      <c r="F11" s="276"/>
    </row>
    <row r="13" spans="1:2" ht="12.75">
      <c r="A13" s="286" t="s">
        <v>278</v>
      </c>
      <c r="B13" s="284"/>
    </row>
    <row r="14" spans="1:2" ht="12.75">
      <c r="A14" s="286" t="s">
        <v>279</v>
      </c>
      <c r="B14" s="284"/>
    </row>
    <row r="15" spans="1:2" ht="12.75">
      <c r="A15" s="286" t="s">
        <v>280</v>
      </c>
      <c r="B15" s="284"/>
    </row>
    <row r="16" ht="12.75">
      <c r="A16" s="276"/>
    </row>
    <row r="17" ht="12.75">
      <c r="A17" s="276"/>
    </row>
    <row r="26" ht="12.75">
      <c r="F26" s="276"/>
    </row>
  </sheetData>
  <sheetProtection algorithmName="SHA-512" hashValue="AKZlbKz4Tj3LIXXcQREtUudpd+cIBkKNBqi0PaR5XP0hfCfZaCDOU7/EzB2kyqgQXlt/pX8EA55mrln+Ta/L+g==" saltValue="PhELLY8/iXD5gxffQaTB+g==" spinCount="100000" sheet="1" objects="1" scenarios="1"/>
  <mergeCells count="2">
    <mergeCell ref="A6:H7"/>
    <mergeCell ref="A1:H5"/>
  </mergeCells>
  <conditionalFormatting sqref="A1">
    <cfRule type="cellIs" priority="1" dxfId="2" operator="equal">
      <formula>"NextGen eOrder"</formula>
    </cfRule>
    <cfRule type="cellIs" priority="2" dxfId="1" operator="equal">
      <formula>"Director eOrder"</formula>
    </cfRule>
    <cfRule type="containsText" priority="3" dxfId="0" operator="containsText" text="NextGen">
      <formula>NOT(ISERROR(SEARCH("NextGen",A1)))</formula>
    </cfRule>
  </conditionalFormatting>
  <conditionalFormatting sqref="I1:I3">
    <cfRule type="containsText" priority="4" dxfId="0" operator="containsText" text="NextGen">
      <formula>NOT(ISERROR(SEARCH("NextGen",I1)))</formula>
    </cfRule>
  </conditionalFormatting>
  <pageMargins left="0.7" right="0.7" top="0.75" bottom="0.75" header="0.3" footer="0.3"/>
  <pageSetup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75B12-D724-46A9-A26B-D002834A7CB4}">
  <dimension ref="A1:F9"/>
  <sheetViews>
    <sheetView zoomScale="130" zoomScaleNormal="130" workbookViewId="0" topLeftCell="A1">
      <selection pane="topLeft" activeCell="A1" sqref="A1:D15"/>
    </sheetView>
  </sheetViews>
  <sheetFormatPr defaultColWidth="32" defaultRowHeight="12.75"/>
  <cols>
    <col min="1" max="1" width="19.2857142857143" bestFit="1" customWidth="1"/>
    <col min="2" max="2" width="42.1428571428571" bestFit="1" customWidth="1"/>
  </cols>
  <sheetData>
    <row r="1" spans="1:4" ht="12.75" customHeight="1">
      <c r="A1" s="562" t="s">
        <v>238</v>
      </c>
      <c r="B1" s="562"/>
      <c r="C1" s="562"/>
      <c r="D1" s="562"/>
    </row>
    <row r="2" spans="1:4" ht="12.75" customHeight="1">
      <c r="A2" s="562"/>
      <c r="B2" s="562"/>
      <c r="C2" s="562"/>
      <c r="D2" s="562"/>
    </row>
    <row r="3" spans="1:4" ht="12.75" customHeight="1">
      <c r="A3" s="562"/>
      <c r="B3" s="562"/>
      <c r="C3" s="562"/>
      <c r="D3" s="562"/>
    </row>
    <row r="4" spans="1:4" ht="12.75" customHeight="1">
      <c r="A4" s="562"/>
      <c r="B4" s="562"/>
      <c r="C4" s="562"/>
      <c r="D4" s="562"/>
    </row>
    <row r="5" spans="1:4" ht="12.75" customHeight="1">
      <c r="A5" s="581"/>
      <c r="B5" s="581"/>
      <c r="C5" s="581"/>
      <c r="D5" s="581"/>
    </row>
    <row r="6" spans="1:4" ht="12.75" customHeight="1">
      <c r="A6" s="583" t="s">
        <v>444</v>
      </c>
      <c r="B6" s="583"/>
      <c r="C6" s="583"/>
      <c r="D6" s="583"/>
    </row>
    <row r="7" spans="1:4" ht="12.75" customHeight="1">
      <c r="A7" s="584"/>
      <c r="B7" s="584"/>
      <c r="C7" s="584"/>
      <c r="D7" s="584"/>
    </row>
    <row r="8" spans="1:6" ht="15">
      <c r="A8" s="473" t="s">
        <v>444</v>
      </c>
      <c r="B8" s="585" t="s">
        <v>446</v>
      </c>
      <c r="C8" s="585"/>
      <c r="D8" s="585"/>
      <c r="E8" s="1"/>
      <c r="F8" s="1"/>
    </row>
    <row r="9" spans="1:2" ht="12.75">
      <c r="A9" s="474" t="s">
        <v>445</v>
      </c>
      <c r="B9" s="475"/>
    </row>
  </sheetData>
  <sheetProtection algorithmName="SHA-512" hashValue="Ep+IQORrJzwcRMTa5he28GXAOaw22rSuN9d6fKlv/qsY4enHj1fnVuv565hijY5CpKlTK7cqgag8tMVyyEv+jQ==" saltValue="TtRy6qc3bk7oC3+WXAb6QQ==" spinCount="100000" sheet="1" objects="1" scenarios="1"/>
  <mergeCells count="3">
    <mergeCell ref="A1:D5"/>
    <mergeCell ref="A6:D7"/>
    <mergeCell ref="B8:D8"/>
  </mergeCells>
  <conditionalFormatting sqref="A1">
    <cfRule type="cellIs" priority="1" dxfId="2" operator="equal">
      <formula>"NextGen eOrder"</formula>
    </cfRule>
    <cfRule type="cellIs" priority="2" dxfId="1" operator="equal">
      <formula>"Director eOrder"</formula>
    </cfRule>
    <cfRule type="containsText" priority="3" dxfId="0" operator="containsText" text="NextGen">
      <formula>NOT(ISERROR(SEARCH("NextGen",A1)))</formula>
    </cfRule>
  </conditionalFormatting>
  <pageMargins left="0.7" right="0.7" top="0.75" bottom="0.75" header="0.3" footer="0.3"/>
  <pageSetup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>
    <pageSetUpPr fitToPage="1"/>
  </sheetPr>
  <dimension ref="A1:Q395"/>
  <sheetViews>
    <sheetView zoomScale="145" zoomScaleNormal="145" zoomScaleSheetLayoutView="55" workbookViewId="0" topLeftCell="A1">
      <selection pane="topLeft" activeCell="A1" sqref="A1:XFD1048576"/>
    </sheetView>
  </sheetViews>
  <sheetFormatPr defaultColWidth="9.140625" defaultRowHeight="15"/>
  <cols>
    <col min="1" max="1" width="17.1428571428571" style="7" customWidth="1"/>
    <col min="2" max="2" width="42.7142857142857" style="7" customWidth="1"/>
    <col min="3" max="3" width="8.71428571428571" style="7" customWidth="1"/>
    <col min="4" max="4" width="19" style="7" customWidth="1"/>
    <col min="5" max="5" width="16.1428571428571" style="7" customWidth="1"/>
    <col min="6" max="6" width="18.7142857142857" style="7" customWidth="1"/>
    <col min="7" max="7" width="26.1428571428571" style="7" customWidth="1"/>
    <col min="8" max="9" width="3" style="7" customWidth="1"/>
    <col min="10" max="10" width="87.7142857142857" style="7" customWidth="1"/>
    <col min="11" max="11" width="25.7142857142857" style="7" customWidth="1"/>
    <col min="12" max="12" width="61.5714285714286" style="7" customWidth="1"/>
    <col min="13" max="13" width="91.1428571428571" style="7" customWidth="1"/>
    <col min="14" max="16384" width="9.14285714285714" style="7"/>
  </cols>
  <sheetData>
    <row r="1" spans="1:12" ht="12" customHeight="1">
      <c r="A1" s="562" t="s">
        <v>238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</row>
    <row r="2" spans="1:12" ht="12" customHeight="1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</row>
    <row r="3" spans="1:12" ht="14.1" customHeight="1">
      <c r="A3" s="562"/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</row>
    <row r="4" spans="1:12" ht="12" customHeight="1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</row>
    <row r="5" spans="1:12" ht="12" customHeight="1">
      <c r="A5" s="581"/>
      <c r="B5" s="581"/>
      <c r="C5" s="581"/>
      <c r="D5" s="581"/>
      <c r="E5" s="581"/>
      <c r="F5" s="581"/>
      <c r="G5" s="581"/>
      <c r="H5" s="581"/>
      <c r="I5" s="581"/>
      <c r="J5" s="581"/>
      <c r="K5" s="581"/>
      <c r="L5" s="581"/>
    </row>
    <row r="6" spans="1:12" ht="16.5" customHeight="1">
      <c r="A6" s="583" t="s">
        <v>463</v>
      </c>
      <c r="B6" s="583"/>
      <c r="C6" s="583"/>
      <c r="D6" s="583"/>
      <c r="E6" s="583"/>
      <c r="F6" s="583"/>
      <c r="G6" s="583"/>
      <c r="H6" s="583"/>
      <c r="I6" s="583"/>
      <c r="J6" s="583"/>
      <c r="K6" s="583" t="s">
        <v>448</v>
      </c>
      <c r="L6" s="583"/>
    </row>
    <row r="7" spans="1:12" ht="16.5" customHeight="1" thickBot="1">
      <c r="A7" s="584"/>
      <c r="B7" s="584"/>
      <c r="C7" s="584"/>
      <c r="D7" s="584"/>
      <c r="E7" s="584"/>
      <c r="F7" s="584"/>
      <c r="G7" s="584"/>
      <c r="H7" s="584"/>
      <c r="I7" s="584"/>
      <c r="J7" s="571"/>
      <c r="K7" s="571"/>
      <c r="L7" s="571"/>
    </row>
    <row r="8" spans="1:12" ht="15.75" thickBot="1">
      <c r="A8" s="205"/>
      <c r="B8" s="206"/>
      <c r="C8" s="207"/>
      <c r="D8" s="206"/>
      <c r="E8" s="207"/>
      <c r="F8" s="207"/>
      <c r="G8" s="207"/>
      <c r="H8" s="207"/>
      <c r="J8" s="496" t="s">
        <v>434</v>
      </c>
      <c r="K8" s="588" t="s">
        <v>449</v>
      </c>
      <c r="L8" s="586"/>
    </row>
    <row r="9" spans="1:12" ht="15">
      <c r="A9" s="222" t="s">
        <v>6</v>
      </c>
      <c r="B9" s="206"/>
      <c r="C9" s="206"/>
      <c r="D9" s="206"/>
      <c r="E9" s="206"/>
      <c r="F9" s="206"/>
      <c r="G9" s="206"/>
      <c r="H9" s="206"/>
      <c r="J9" s="599" t="s">
        <v>447</v>
      </c>
      <c r="K9" s="589"/>
      <c r="L9" s="587"/>
    </row>
    <row r="10" spans="1:12" s="8" customFormat="1" ht="15.75" thickBot="1">
      <c r="A10" s="205" t="s">
        <v>1</v>
      </c>
      <c r="B10" s="492" t="s">
        <v>251</v>
      </c>
      <c r="C10" s="208"/>
      <c r="D10" s="594" t="s">
        <v>53</v>
      </c>
      <c r="E10" s="594"/>
      <c r="F10" s="595"/>
      <c r="G10" s="590" t="s">
        <v>16</v>
      </c>
      <c r="H10" s="591"/>
      <c r="I10" s="7"/>
      <c r="J10" s="600"/>
      <c r="K10" s="495" t="s">
        <v>450</v>
      </c>
      <c r="L10" s="497"/>
    </row>
    <row r="11" spans="1:12" s="8" customFormat="1" ht="15">
      <c r="A11" s="205" t="s">
        <v>2</v>
      </c>
      <c r="B11" s="493" t="s">
        <v>252</v>
      </c>
      <c r="C11" s="208"/>
      <c r="D11" s="594"/>
      <c r="E11" s="594"/>
      <c r="F11" s="595"/>
      <c r="G11" s="592"/>
      <c r="H11" s="593"/>
      <c r="I11" s="7"/>
      <c r="J11" s="600"/>
      <c r="K11" s="588" t="s">
        <v>451</v>
      </c>
      <c r="L11" s="586"/>
    </row>
    <row r="12" spans="1:12" s="8" customFormat="1" ht="15">
      <c r="A12" s="205" t="s">
        <v>12</v>
      </c>
      <c r="B12" s="492" t="s">
        <v>261</v>
      </c>
      <c r="C12" s="208"/>
      <c r="D12" s="208"/>
      <c r="E12" s="208"/>
      <c r="F12" s="209"/>
      <c r="G12" s="208"/>
      <c r="H12" s="10" t="str">
        <f>IF($G$10="--Select--","Mandatory field",IF($G$10="No","Note: installations can only be performed by certified installers","Teletrac Navman Installation Costs will be applied"))</f>
        <v>Note: installations can only be performed by certified installers</v>
      </c>
      <c r="I12" s="7"/>
      <c r="J12" s="600"/>
      <c r="K12" s="589"/>
      <c r="L12" s="587"/>
    </row>
    <row r="13" spans="1:12" s="8" customFormat="1" ht="15.75" thickBot="1">
      <c r="A13" s="205" t="s">
        <v>13</v>
      </c>
      <c r="B13" s="492" t="s">
        <v>469</v>
      </c>
      <c r="C13" s="208"/>
      <c r="D13" s="594" t="s">
        <v>282</v>
      </c>
      <c r="E13" s="594"/>
      <c r="F13" s="595"/>
      <c r="G13" s="590" t="s">
        <v>281</v>
      </c>
      <c r="H13" s="591"/>
      <c r="I13" s="7"/>
      <c r="J13" s="600"/>
      <c r="K13" s="495" t="s">
        <v>452</v>
      </c>
      <c r="L13" s="497"/>
    </row>
    <row r="14" spans="1:12" s="8" customFormat="1" ht="15">
      <c r="A14" s="205" t="s">
        <v>0</v>
      </c>
      <c r="B14" s="492" t="s">
        <v>470</v>
      </c>
      <c r="C14" s="208"/>
      <c r="D14" s="594"/>
      <c r="E14" s="594"/>
      <c r="F14" s="595"/>
      <c r="G14" s="592"/>
      <c r="H14" s="593"/>
      <c r="I14" s="7"/>
      <c r="J14" s="600"/>
      <c r="K14" s="588" t="s">
        <v>453</v>
      </c>
      <c r="L14" s="599"/>
    </row>
    <row r="15" spans="1:12" s="8" customFormat="1" ht="19.5" thickBot="1">
      <c r="A15" s="205" t="s">
        <v>3</v>
      </c>
      <c r="B15" s="492" t="s">
        <v>297</v>
      </c>
      <c r="C15" s="208"/>
      <c r="D15" s="270" t="str">
        <f>IF(G10="NO","Delivery Address","")</f>
        <v>Delivery Address</v>
      </c>
      <c r="E15" s="208"/>
      <c r="F15" s="208"/>
      <c r="G15" s="208"/>
      <c r="H15" s="208"/>
      <c r="I15" s="7"/>
      <c r="J15" s="600"/>
      <c r="K15" s="589"/>
      <c r="L15" s="600"/>
    </row>
    <row r="16" spans="1:17" s="8" customFormat="1" ht="15.75" thickBot="1">
      <c r="A16" s="205" t="s">
        <v>4</v>
      </c>
      <c r="B16" s="492" t="s">
        <v>289</v>
      </c>
      <c r="C16" s="208"/>
      <c r="D16" s="210" t="s">
        <v>283</v>
      </c>
      <c r="E16" s="211"/>
      <c r="F16" s="211"/>
      <c r="G16" s="211"/>
      <c r="H16" s="212"/>
      <c r="I16" s="7"/>
      <c r="J16" s="600"/>
      <c r="K16" s="495" t="s">
        <v>454</v>
      </c>
      <c r="L16" s="497"/>
      <c r="Q16" s="284"/>
    </row>
    <row r="17" spans="1:12" s="8" customFormat="1" ht="15">
      <c r="A17" s="205" t="s">
        <v>9</v>
      </c>
      <c r="B17" s="492" t="s">
        <v>288</v>
      </c>
      <c r="C17" s="208"/>
      <c r="D17" s="213" t="s">
        <v>284</v>
      </c>
      <c r="E17" s="598" t="s">
        <v>251</v>
      </c>
      <c r="F17" s="598"/>
      <c r="G17" s="598"/>
      <c r="H17" s="214"/>
      <c r="I17" s="7"/>
      <c r="J17" s="600"/>
      <c r="K17" s="588" t="s">
        <v>455</v>
      </c>
      <c r="L17" s="586"/>
    </row>
    <row r="18" spans="1:12" s="8" customFormat="1" ht="15">
      <c r="A18" s="205" t="s">
        <v>89</v>
      </c>
      <c r="B18" s="492" t="s">
        <v>290</v>
      </c>
      <c r="C18" s="208"/>
      <c r="D18" s="213" t="s">
        <v>2</v>
      </c>
      <c r="E18" s="597" t="s">
        <v>287</v>
      </c>
      <c r="F18" s="597"/>
      <c r="G18" s="597"/>
      <c r="H18" s="214"/>
      <c r="I18" s="7"/>
      <c r="J18" s="600"/>
      <c r="K18" s="589"/>
      <c r="L18" s="587"/>
    </row>
    <row r="19" spans="1:12" s="8" customFormat="1" ht="15.75" thickBot="1">
      <c r="A19" s="205" t="s">
        <v>52</v>
      </c>
      <c r="B19" s="291" t="s">
        <v>253</v>
      </c>
      <c r="C19" s="208"/>
      <c r="D19" s="213" t="s">
        <v>285</v>
      </c>
      <c r="E19" s="597"/>
      <c r="F19" s="597"/>
      <c r="G19" s="597"/>
      <c r="H19" s="214"/>
      <c r="I19" s="7"/>
      <c r="J19" s="600"/>
      <c r="K19" s="495" t="s">
        <v>456</v>
      </c>
      <c r="L19" s="497"/>
    </row>
    <row r="20" spans="3:12" s="8" customFormat="1" ht="15">
      <c r="C20" s="208"/>
      <c r="D20" s="213" t="s">
        <v>286</v>
      </c>
      <c r="E20" s="597"/>
      <c r="F20" s="597"/>
      <c r="G20" s="597"/>
      <c r="H20" s="214"/>
      <c r="I20" s="7"/>
      <c r="J20" s="600"/>
      <c r="K20" s="588" t="s">
        <v>457</v>
      </c>
      <c r="L20" s="586"/>
    </row>
    <row r="21" spans="1:12" s="8" customFormat="1" ht="15.75" thickBot="1">
      <c r="A21" s="222" t="s">
        <v>7</v>
      </c>
      <c r="B21" s="9"/>
      <c r="C21" s="208"/>
      <c r="D21" s="215"/>
      <c r="E21" s="216"/>
      <c r="F21" s="216"/>
      <c r="G21" s="216"/>
      <c r="H21" s="217"/>
      <c r="I21" s="7"/>
      <c r="J21" s="600"/>
      <c r="K21" s="589"/>
      <c r="L21" s="587"/>
    </row>
    <row r="22" spans="1:12" s="8" customFormat="1" ht="13.5" customHeight="1" thickBot="1">
      <c r="A22" s="205" t="s">
        <v>111</v>
      </c>
      <c r="B22" s="232" t="str">
        <f>'General Information'!B7</f>
        <v>Navtek Tracking</v>
      </c>
      <c r="C22" s="208"/>
      <c r="D22" s="348"/>
      <c r="E22" s="349"/>
      <c r="F22" s="349"/>
      <c r="G22" s="349"/>
      <c r="H22" s="349"/>
      <c r="I22" s="7"/>
      <c r="J22" s="600"/>
      <c r="K22" s="494" t="s">
        <v>458</v>
      </c>
      <c r="L22" s="497"/>
    </row>
    <row r="23" spans="1:12" s="8" customFormat="1" ht="13.5" customHeight="1">
      <c r="A23" s="219" t="s">
        <v>2</v>
      </c>
      <c r="B23" s="258" t="str">
        <f>'General Information'!B9</f>
        <v>PO Box 84 , Balgowlah , 2093 , New South Wales</v>
      </c>
      <c r="C23" s="208"/>
      <c r="D23" s="7"/>
      <c r="E23" s="7"/>
      <c r="F23" s="7"/>
      <c r="G23" s="7"/>
      <c r="H23" s="7"/>
      <c r="I23" s="7"/>
      <c r="J23" s="600"/>
      <c r="K23" s="588" t="s">
        <v>459</v>
      </c>
      <c r="L23" s="586"/>
    </row>
    <row r="24" spans="1:12" ht="13.5" customHeight="1">
      <c r="A24" s="205" t="s">
        <v>11</v>
      </c>
      <c r="B24" s="232" t="str">
        <f>'General Information'!B11</f>
        <v>sophia@navtek.com.au</v>
      </c>
      <c r="C24" s="206"/>
      <c r="J24" s="600"/>
      <c r="K24" s="589"/>
      <c r="L24" s="587"/>
    </row>
    <row r="25" spans="1:12" ht="13.5" customHeight="1" thickBot="1">
      <c r="A25" s="205" t="s">
        <v>112</v>
      </c>
      <c r="B25" s="232" t="str">
        <f>'General Information'!D11</f>
        <v>Sophia Carvalho</v>
      </c>
      <c r="C25" s="206"/>
      <c r="J25" s="600"/>
      <c r="K25" s="494" t="s">
        <v>460</v>
      </c>
      <c r="L25" s="497"/>
    </row>
    <row r="26" spans="1:12" ht="13.5" customHeight="1">
      <c r="A26" s="205" t="s">
        <v>10</v>
      </c>
      <c r="B26" s="232" t="str">
        <f>'General Information'!B13</f>
        <v>.</v>
      </c>
      <c r="C26" s="206"/>
      <c r="J26" s="600"/>
      <c r="K26" s="588" t="s">
        <v>461</v>
      </c>
      <c r="L26" s="586"/>
    </row>
    <row r="27" spans="1:12" ht="13.5" customHeight="1">
      <c r="A27" s="205"/>
      <c r="B27" s="232"/>
      <c r="C27" s="206"/>
      <c r="J27" s="600"/>
      <c r="K27" s="589"/>
      <c r="L27" s="587"/>
    </row>
    <row r="28" spans="1:12" ht="13.5" customHeight="1" thickBot="1">
      <c r="A28" s="205"/>
      <c r="B28" s="232"/>
      <c r="C28" s="206"/>
      <c r="J28" s="600"/>
      <c r="K28" s="494" t="s">
        <v>462</v>
      </c>
      <c r="L28" s="497"/>
    </row>
    <row r="29" spans="3:12" ht="13.5" customHeight="1">
      <c r="C29" s="206"/>
      <c r="J29" s="600"/>
      <c r="K29" s="588" t="s">
        <v>464</v>
      </c>
      <c r="L29" s="586"/>
    </row>
    <row r="30" spans="1:12" ht="13.5" customHeight="1">
      <c r="A30" s="218"/>
      <c r="B30" s="218"/>
      <c r="C30" s="206"/>
      <c r="J30" s="600"/>
      <c r="K30" s="589"/>
      <c r="L30" s="587"/>
    </row>
    <row r="31" spans="3:12" ht="13.5" customHeight="1" thickBot="1">
      <c r="C31" s="206"/>
      <c r="J31" s="601"/>
      <c r="K31" s="494" t="s">
        <v>465</v>
      </c>
      <c r="L31" s="497"/>
    </row>
    <row r="32" spans="1:12" s="9" customFormat="1" ht="15">
      <c r="A32" s="596" t="s">
        <v>237</v>
      </c>
      <c r="B32" s="596"/>
      <c r="C32" s="596"/>
      <c r="D32" s="596"/>
      <c r="E32" s="596"/>
      <c r="F32" s="596"/>
      <c r="G32" s="596"/>
      <c r="H32" s="596"/>
      <c r="I32" s="596"/>
      <c r="J32" s="596"/>
      <c r="K32" s="596"/>
      <c r="L32" s="596"/>
    </row>
    <row r="33" s="9" customFormat="1" ht="15"/>
    <row r="34" s="9" customFormat="1" ht="15"/>
    <row r="35" s="9" customFormat="1" ht="15"/>
    <row r="36" s="9" customFormat="1" ht="15"/>
    <row r="37" s="9" customFormat="1" ht="15"/>
    <row r="38" s="9" customFormat="1" ht="15"/>
    <row r="39" s="9" customFormat="1" ht="15"/>
    <row r="40" s="9" customFormat="1" ht="15"/>
    <row r="41" s="9" customFormat="1" ht="15"/>
    <row r="42" s="9" customFormat="1" ht="15"/>
    <row r="43" s="9" customFormat="1" ht="15"/>
    <row r="44" s="9" customFormat="1" ht="15"/>
    <row r="45" s="9" customFormat="1" ht="15"/>
    <row r="46" s="9" customFormat="1" ht="15"/>
    <row r="47" s="9" customFormat="1" ht="15"/>
    <row r="48" s="9" customFormat="1" ht="15"/>
    <row r="49" s="9" customFormat="1" ht="15"/>
    <row r="50" s="9" customFormat="1" ht="15"/>
    <row r="51" s="9" customFormat="1" ht="15"/>
    <row r="52" s="9" customFormat="1" ht="15"/>
    <row r="53" s="9" customFormat="1" ht="15"/>
    <row r="54" s="9" customFormat="1" ht="15"/>
    <row r="55" s="9" customFormat="1" ht="15"/>
    <row r="56" s="9" customFormat="1" ht="15"/>
    <row r="57" s="9" customFormat="1" ht="15"/>
    <row r="58" s="9" customFormat="1" ht="15"/>
    <row r="59" s="9" customFormat="1" ht="15"/>
    <row r="60" s="9" customFormat="1" ht="15"/>
    <row r="61" s="9" customFormat="1" ht="15"/>
    <row r="62" s="9" customFormat="1" ht="15"/>
    <row r="63" s="9" customFormat="1" ht="15"/>
    <row r="64" s="9" customFormat="1" ht="15"/>
    <row r="65" s="9" customFormat="1" ht="15"/>
    <row r="66" s="9" customFormat="1" ht="15"/>
    <row r="67" s="9" customFormat="1" ht="15"/>
    <row r="68" s="9" customFormat="1" ht="15"/>
    <row r="69" s="9" customFormat="1" ht="15"/>
    <row r="70" s="9" customFormat="1" ht="15"/>
    <row r="71" s="9" customFormat="1" ht="15"/>
    <row r="72" s="9" customFormat="1" ht="15"/>
    <row r="73" s="9" customFormat="1" ht="15"/>
    <row r="74" s="9" customFormat="1" ht="15"/>
    <row r="75" s="9" customFormat="1" ht="15"/>
    <row r="76" s="9" customFormat="1" ht="15"/>
    <row r="77" s="9" customFormat="1" ht="15"/>
    <row r="78" s="9" customFormat="1" ht="15"/>
    <row r="79" s="9" customFormat="1" ht="15"/>
    <row r="80" s="9" customFormat="1" ht="15"/>
    <row r="81" s="9" customFormat="1" ht="15"/>
    <row r="82" s="9" customFormat="1" ht="15"/>
    <row r="83" s="9" customFormat="1" ht="15"/>
    <row r="84" s="9" customFormat="1" ht="15"/>
    <row r="85" s="9" customFormat="1" ht="15"/>
    <row r="86" s="9" customFormat="1" ht="15"/>
    <row r="87" s="9" customFormat="1" ht="15"/>
    <row r="88" s="9" customFormat="1" ht="15"/>
    <row r="89" s="9" customFormat="1" ht="15"/>
    <row r="90" s="9" customFormat="1" ht="15"/>
    <row r="91" s="9" customFormat="1" ht="15"/>
    <row r="92" s="9" customFormat="1" ht="15"/>
    <row r="93" s="9" customFormat="1" ht="15"/>
    <row r="94" s="9" customFormat="1" ht="15"/>
    <row r="95" s="9" customFormat="1" ht="15"/>
    <row r="96" s="9" customFormat="1" ht="15"/>
    <row r="97" s="9" customFormat="1" ht="15"/>
    <row r="98" s="9" customFormat="1" ht="15"/>
    <row r="99" s="9" customFormat="1" ht="15"/>
    <row r="100" s="9" customFormat="1" ht="15"/>
    <row r="101" s="9" customFormat="1" ht="15"/>
    <row r="102" s="9" customFormat="1" ht="15"/>
    <row r="103" s="9" customFormat="1" ht="15"/>
    <row r="104" s="9" customFormat="1" ht="15"/>
    <row r="105" s="9" customFormat="1" ht="15"/>
    <row r="106" s="9" customFormat="1" ht="15"/>
    <row r="107" s="9" customFormat="1" ht="15"/>
    <row r="108" s="9" customFormat="1" ht="15"/>
    <row r="109" s="9" customFormat="1" ht="15"/>
    <row r="110" s="9" customFormat="1" ht="15"/>
    <row r="111" s="9" customFormat="1" ht="15"/>
    <row r="112" s="9" customFormat="1" ht="15"/>
    <row r="113" s="9" customFormat="1" ht="15"/>
    <row r="114" s="9" customFormat="1" ht="15"/>
    <row r="115" s="9" customFormat="1" ht="15"/>
    <row r="116" s="9" customFormat="1" ht="15"/>
    <row r="117" s="9" customFormat="1" ht="15"/>
    <row r="118" s="9" customFormat="1" ht="15"/>
    <row r="119" s="9" customFormat="1" ht="15"/>
    <row r="120" s="9" customFormat="1" ht="15"/>
    <row r="121" s="9" customFormat="1" ht="15"/>
    <row r="122" s="9" customFormat="1" ht="15"/>
    <row r="123" s="9" customFormat="1" ht="15"/>
    <row r="124" s="9" customFormat="1" ht="15"/>
    <row r="125" s="9" customFormat="1" ht="15"/>
    <row r="126" s="9" customFormat="1" ht="15"/>
    <row r="127" s="9" customFormat="1" ht="15"/>
    <row r="128" s="9" customFormat="1" ht="15"/>
    <row r="129" s="9" customFormat="1" ht="15"/>
    <row r="130" s="9" customFormat="1" ht="15"/>
    <row r="131" s="9" customFormat="1" ht="15"/>
    <row r="132" s="9" customFormat="1" ht="15"/>
    <row r="133" s="9" customFormat="1" ht="15"/>
    <row r="134" s="9" customFormat="1" ht="15"/>
    <row r="135" s="9" customFormat="1" ht="15"/>
    <row r="136" s="9" customFormat="1" ht="15"/>
    <row r="137" s="9" customFormat="1" ht="15"/>
    <row r="138" s="9" customFormat="1" ht="15"/>
    <row r="139" s="9" customFormat="1" ht="15"/>
    <row r="140" s="9" customFormat="1" ht="15"/>
    <row r="141" s="9" customFormat="1" ht="15"/>
    <row r="142" s="9" customFormat="1" ht="15"/>
    <row r="143" s="9" customFormat="1" ht="15"/>
    <row r="144" s="9" customFormat="1" ht="15"/>
    <row r="145" s="9" customFormat="1" ht="15"/>
    <row r="146" s="9" customFormat="1" ht="15"/>
    <row r="147" s="9" customFormat="1" ht="15"/>
    <row r="148" s="9" customFormat="1" ht="15"/>
    <row r="149" s="9" customFormat="1" ht="15"/>
    <row r="150" s="9" customFormat="1" ht="15"/>
    <row r="151" s="9" customFormat="1" ht="15"/>
    <row r="152" s="9" customFormat="1" ht="15"/>
    <row r="153" s="9" customFormat="1" ht="15"/>
    <row r="154" s="9" customFormat="1" ht="15"/>
    <row r="155" s="9" customFormat="1" ht="15"/>
    <row r="156" s="9" customFormat="1" ht="15"/>
    <row r="157" s="9" customFormat="1" ht="15"/>
    <row r="158" s="9" customFormat="1" ht="15"/>
    <row r="159" s="9" customFormat="1" ht="15"/>
    <row r="160" s="9" customFormat="1" ht="15"/>
    <row r="161" s="9" customFormat="1" ht="15"/>
    <row r="162" s="9" customFormat="1" ht="15"/>
    <row r="163" s="9" customFormat="1" ht="15"/>
    <row r="164" s="9" customFormat="1" ht="15"/>
    <row r="165" s="9" customFormat="1" ht="15"/>
    <row r="166" s="9" customFormat="1" ht="15"/>
    <row r="167" s="9" customFormat="1" ht="15"/>
    <row r="168" s="9" customFormat="1" ht="15"/>
    <row r="169" s="9" customFormat="1" ht="15"/>
    <row r="170" s="9" customFormat="1" ht="15"/>
    <row r="171" s="9" customFormat="1" ht="15"/>
    <row r="172" s="9" customFormat="1" ht="15"/>
    <row r="173" s="9" customFormat="1" ht="15"/>
    <row r="174" s="9" customFormat="1" ht="15"/>
    <row r="175" s="9" customFormat="1" ht="15"/>
    <row r="176" s="9" customFormat="1" ht="15"/>
    <row r="177" s="9" customFormat="1" ht="15"/>
    <row r="178" s="9" customFormat="1" ht="15"/>
    <row r="179" s="9" customFormat="1" ht="15"/>
    <row r="180" s="9" customFormat="1" ht="15"/>
    <row r="181" s="9" customFormat="1" ht="15"/>
    <row r="182" s="9" customFormat="1" ht="15"/>
    <row r="183" s="9" customFormat="1" ht="15"/>
    <row r="184" s="9" customFormat="1" ht="15"/>
    <row r="185" s="9" customFormat="1" ht="15"/>
    <row r="186" s="9" customFormat="1" ht="15"/>
    <row r="187" s="9" customFormat="1" ht="15"/>
    <row r="188" s="9" customFormat="1" ht="15"/>
    <row r="189" s="9" customFormat="1" ht="15"/>
    <row r="190" s="9" customFormat="1" ht="15"/>
    <row r="191" s="9" customFormat="1" ht="15"/>
    <row r="192" s="9" customFormat="1" ht="15"/>
    <row r="193" s="9" customFormat="1" ht="15"/>
    <row r="194" s="9" customFormat="1" ht="15"/>
    <row r="195" s="9" customFormat="1" ht="15"/>
    <row r="196" s="9" customFormat="1" ht="15"/>
    <row r="197" s="9" customFormat="1" ht="15"/>
    <row r="198" s="9" customFormat="1" ht="15"/>
    <row r="199" s="9" customFormat="1" ht="15"/>
    <row r="200" s="9" customFormat="1" ht="15"/>
    <row r="201" s="9" customFormat="1" ht="15"/>
    <row r="202" s="9" customFormat="1" ht="15"/>
    <row r="203" s="9" customFormat="1" ht="15"/>
    <row r="204" s="9" customFormat="1" ht="15"/>
    <row r="205" s="9" customFormat="1" ht="15"/>
    <row r="206" s="9" customFormat="1" ht="15"/>
    <row r="207" s="9" customFormat="1" ht="15"/>
    <row r="208" s="9" customFormat="1" ht="15"/>
    <row r="209" s="9" customFormat="1" ht="15"/>
    <row r="210" s="9" customFormat="1" ht="15"/>
    <row r="211" s="9" customFormat="1" ht="15"/>
    <row r="212" s="9" customFormat="1" ht="15"/>
    <row r="213" s="9" customFormat="1" ht="15"/>
    <row r="214" s="9" customFormat="1" ht="15"/>
    <row r="215" s="9" customFormat="1" ht="15"/>
    <row r="216" s="9" customFormat="1" ht="15"/>
    <row r="217" s="9" customFormat="1" ht="15"/>
    <row r="218" s="9" customFormat="1" ht="15"/>
    <row r="219" s="9" customFormat="1" ht="15"/>
    <row r="220" s="9" customFormat="1" ht="15"/>
    <row r="221" s="9" customFormat="1" ht="15"/>
    <row r="222" s="9" customFormat="1" ht="15"/>
    <row r="223" s="9" customFormat="1" ht="15"/>
    <row r="224" s="9" customFormat="1" ht="15"/>
    <row r="225" s="9" customFormat="1" ht="15"/>
    <row r="226" s="9" customFormat="1" ht="15"/>
    <row r="227" s="9" customFormat="1" ht="15"/>
    <row r="228" s="9" customFormat="1" ht="15"/>
    <row r="229" s="9" customFormat="1" ht="15"/>
    <row r="230" s="9" customFormat="1" ht="15"/>
    <row r="231" s="9" customFormat="1" ht="15"/>
    <row r="232" s="9" customFormat="1" ht="15"/>
    <row r="233" s="9" customFormat="1" ht="15"/>
    <row r="234" s="9" customFormat="1" ht="15"/>
    <row r="235" s="9" customFormat="1" ht="15"/>
    <row r="236" s="9" customFormat="1" ht="15"/>
    <row r="237" s="9" customFormat="1" ht="15"/>
    <row r="238" s="9" customFormat="1" ht="15"/>
    <row r="239" s="9" customFormat="1" ht="15"/>
    <row r="240" s="9" customFormat="1" ht="15"/>
    <row r="241" s="9" customFormat="1" ht="15"/>
    <row r="242" s="9" customFormat="1" ht="15"/>
    <row r="243" s="9" customFormat="1" ht="15"/>
    <row r="244" s="9" customFormat="1" ht="15"/>
    <row r="245" s="9" customFormat="1" ht="15"/>
    <row r="246" s="9" customFormat="1" ht="15"/>
    <row r="247" s="9" customFormat="1" ht="15"/>
    <row r="248" s="9" customFormat="1" ht="15"/>
    <row r="249" s="9" customFormat="1" ht="15"/>
    <row r="250" s="9" customFormat="1" ht="15"/>
    <row r="251" s="9" customFormat="1" ht="15"/>
    <row r="252" s="9" customFormat="1" ht="15"/>
    <row r="253" s="9" customFormat="1" ht="15"/>
    <row r="254" s="9" customFormat="1" ht="15"/>
    <row r="255" s="9" customFormat="1" ht="15"/>
    <row r="256" s="9" customFormat="1" ht="15"/>
    <row r="257" s="9" customFormat="1" ht="15"/>
    <row r="258" s="9" customFormat="1" ht="15"/>
    <row r="259" s="9" customFormat="1" ht="15"/>
    <row r="260" s="9" customFormat="1" ht="15"/>
    <row r="261" s="9" customFormat="1" ht="15"/>
    <row r="262" s="9" customFormat="1" ht="15"/>
    <row r="263" s="9" customFormat="1" ht="15"/>
    <row r="264" s="9" customFormat="1" ht="15"/>
    <row r="265" s="9" customFormat="1" ht="15"/>
    <row r="266" s="9" customFormat="1" ht="15"/>
    <row r="267" s="9" customFormat="1" ht="15"/>
    <row r="268" s="9" customFormat="1" ht="15"/>
    <row r="269" s="9" customFormat="1" ht="15"/>
    <row r="270" s="9" customFormat="1" ht="15"/>
    <row r="271" s="9" customFormat="1" ht="15"/>
    <row r="272" s="9" customFormat="1" ht="15"/>
    <row r="273" s="9" customFormat="1" ht="15"/>
    <row r="274" s="9" customFormat="1" ht="15"/>
    <row r="275" s="9" customFormat="1" ht="15"/>
    <row r="276" s="9" customFormat="1" ht="15"/>
    <row r="277" s="9" customFormat="1" ht="15"/>
    <row r="278" s="9" customFormat="1" ht="15"/>
    <row r="279" s="9" customFormat="1" ht="15"/>
    <row r="280" s="9" customFormat="1" ht="15"/>
    <row r="281" s="9" customFormat="1" ht="15"/>
    <row r="282" s="9" customFormat="1" ht="15"/>
    <row r="283" s="9" customFormat="1" ht="15"/>
    <row r="284" s="9" customFormat="1" ht="15"/>
    <row r="285" s="9" customFormat="1" ht="15"/>
    <row r="286" s="9" customFormat="1" ht="15"/>
    <row r="287" s="9" customFormat="1" ht="15"/>
    <row r="288" s="9" customFormat="1" ht="15"/>
    <row r="289" s="9" customFormat="1" ht="15"/>
    <row r="290" s="9" customFormat="1" ht="15"/>
    <row r="291" s="9" customFormat="1" ht="15"/>
    <row r="292" s="9" customFormat="1" ht="15"/>
    <row r="293" s="9" customFormat="1" ht="15"/>
    <row r="294" s="9" customFormat="1" ht="15"/>
    <row r="295" s="9" customFormat="1" ht="15"/>
    <row r="296" s="9" customFormat="1" ht="15"/>
    <row r="297" s="9" customFormat="1" ht="15"/>
    <row r="298" s="9" customFormat="1" ht="15"/>
    <row r="299" s="9" customFormat="1" ht="15"/>
    <row r="300" s="9" customFormat="1" ht="15"/>
    <row r="301" s="9" customFormat="1" ht="15"/>
    <row r="302" s="9" customFormat="1" ht="15"/>
    <row r="303" s="9" customFormat="1" ht="15"/>
    <row r="304" s="9" customFormat="1" ht="15"/>
    <row r="305" s="9" customFormat="1" ht="15"/>
    <row r="306" s="9" customFormat="1" ht="15"/>
    <row r="307" s="9" customFormat="1" ht="15"/>
    <row r="308" s="9" customFormat="1" ht="15"/>
    <row r="309" s="9" customFormat="1" ht="15"/>
    <row r="310" s="9" customFormat="1" ht="15"/>
    <row r="311" s="9" customFormat="1" ht="15"/>
    <row r="312" s="9" customFormat="1" ht="15"/>
    <row r="313" s="9" customFormat="1" ht="15"/>
    <row r="314" s="9" customFormat="1" ht="15"/>
    <row r="315" s="9" customFormat="1" ht="15"/>
    <row r="316" s="9" customFormat="1" ht="15"/>
    <row r="317" s="9" customFormat="1" ht="15"/>
    <row r="318" s="9" customFormat="1" ht="15"/>
    <row r="319" s="9" customFormat="1" ht="15"/>
    <row r="320" s="9" customFormat="1" ht="15"/>
    <row r="321" s="9" customFormat="1" ht="15"/>
    <row r="322" s="9" customFormat="1" ht="15"/>
    <row r="323" s="9" customFormat="1" ht="15"/>
    <row r="324" s="9" customFormat="1" ht="15"/>
    <row r="325" s="9" customFormat="1" ht="15"/>
    <row r="326" s="9" customFormat="1" ht="15"/>
    <row r="327" s="9" customFormat="1" ht="15"/>
    <row r="328" s="9" customFormat="1" ht="15"/>
    <row r="329" s="9" customFormat="1" ht="15"/>
    <row r="330" s="9" customFormat="1" ht="15"/>
    <row r="331" s="9" customFormat="1" ht="15"/>
    <row r="332" s="9" customFormat="1" ht="15"/>
    <row r="333" s="9" customFormat="1" ht="15"/>
    <row r="334" s="9" customFormat="1" ht="15"/>
    <row r="335" s="9" customFormat="1" ht="15"/>
    <row r="336" s="9" customFormat="1" ht="15"/>
    <row r="337" s="9" customFormat="1" ht="15"/>
    <row r="338" s="9" customFormat="1" ht="15"/>
    <row r="339" s="9" customFormat="1" ht="15"/>
    <row r="340" s="9" customFormat="1" ht="15"/>
    <row r="341" s="9" customFormat="1" ht="15"/>
    <row r="342" s="9" customFormat="1" ht="15"/>
    <row r="343" s="9" customFormat="1" ht="15"/>
    <row r="344" s="9" customFormat="1" ht="15"/>
    <row r="345" s="9" customFormat="1" ht="15"/>
    <row r="346" s="9" customFormat="1" ht="15"/>
    <row r="347" s="9" customFormat="1" ht="15"/>
    <row r="348" s="9" customFormat="1" ht="15"/>
    <row r="349" s="9" customFormat="1" ht="15"/>
    <row r="350" s="9" customFormat="1" ht="15"/>
    <row r="351" s="9" customFormat="1" ht="15"/>
    <row r="352" s="9" customFormat="1" ht="15"/>
    <row r="353" s="9" customFormat="1" ht="15"/>
    <row r="354" s="9" customFormat="1" ht="15"/>
    <row r="355" s="9" customFormat="1" ht="15"/>
    <row r="356" s="9" customFormat="1" ht="15"/>
    <row r="357" s="9" customFormat="1" ht="15"/>
    <row r="358" s="9" customFormat="1" ht="15"/>
    <row r="359" s="9" customFormat="1" ht="15"/>
    <row r="360" s="9" customFormat="1" ht="15"/>
    <row r="361" s="9" customFormat="1" ht="15"/>
    <row r="362" s="9" customFormat="1" ht="15"/>
    <row r="363" s="9" customFormat="1" ht="15"/>
    <row r="364" s="9" customFormat="1" ht="15"/>
    <row r="365" s="9" customFormat="1" ht="15"/>
    <row r="366" s="9" customFormat="1" ht="15"/>
    <row r="367" s="9" customFormat="1" ht="15"/>
    <row r="368" s="9" customFormat="1" ht="15"/>
    <row r="369" s="9" customFormat="1" ht="15"/>
    <row r="370" s="9" customFormat="1" ht="15"/>
    <row r="371" s="9" customFormat="1" ht="15"/>
    <row r="372" s="9" customFormat="1" ht="15"/>
    <row r="373" s="9" customFormat="1" ht="15"/>
    <row r="374" s="9" customFormat="1" ht="15"/>
    <row r="375" s="9" customFormat="1" ht="15"/>
    <row r="376" s="9" customFormat="1" ht="15"/>
    <row r="377" spans="4:9" s="9" customFormat="1" ht="15">
      <c r="D377" s="7"/>
      <c r="E377" s="7"/>
      <c r="F377" s="7"/>
      <c r="G377" s="7"/>
      <c r="H377" s="7"/>
      <c r="I377" s="7"/>
    </row>
    <row r="378" spans="4:9" s="9" customFormat="1" ht="15">
      <c r="D378" s="7"/>
      <c r="E378" s="7"/>
      <c r="F378" s="7"/>
      <c r="G378" s="7"/>
      <c r="H378" s="7"/>
      <c r="I378" s="7"/>
    </row>
    <row r="379" spans="4:9" s="9" customFormat="1" ht="15">
      <c r="D379" s="7"/>
      <c r="E379" s="7"/>
      <c r="F379" s="7"/>
      <c r="G379" s="7"/>
      <c r="H379" s="7"/>
      <c r="I379" s="7"/>
    </row>
    <row r="380" spans="4:9" s="9" customFormat="1" ht="15">
      <c r="D380" s="7"/>
      <c r="E380" s="7"/>
      <c r="F380" s="7"/>
      <c r="G380" s="7"/>
      <c r="H380" s="7"/>
      <c r="I380" s="7"/>
    </row>
    <row r="381" spans="4:9" s="9" customFormat="1" ht="15">
      <c r="D381" s="7"/>
      <c r="E381" s="7"/>
      <c r="F381" s="7"/>
      <c r="G381" s="7"/>
      <c r="H381" s="7"/>
      <c r="I381" s="7"/>
    </row>
    <row r="382" spans="4:10" s="9" customFormat="1" ht="15">
      <c r="D382" s="7"/>
      <c r="E382" s="7"/>
      <c r="F382" s="7"/>
      <c r="G382" s="7"/>
      <c r="H382" s="7"/>
      <c r="I382" s="7"/>
      <c r="J382" s="7"/>
    </row>
    <row r="383" spans="4:10" s="9" customFormat="1" ht="15">
      <c r="D383" s="7"/>
      <c r="E383" s="7"/>
      <c r="F383" s="7"/>
      <c r="G383" s="7"/>
      <c r="H383" s="7"/>
      <c r="I383" s="7"/>
      <c r="J383" s="7"/>
    </row>
    <row r="384" spans="4:10" s="9" customFormat="1" ht="15">
      <c r="D384" s="7"/>
      <c r="E384" s="7"/>
      <c r="F384" s="7"/>
      <c r="G384" s="7"/>
      <c r="H384" s="7"/>
      <c r="I384" s="7"/>
      <c r="J384" s="7"/>
    </row>
    <row r="385" spans="4:10" s="9" customFormat="1" ht="15">
      <c r="D385" s="7"/>
      <c r="E385" s="7"/>
      <c r="F385" s="7"/>
      <c r="G385" s="7"/>
      <c r="H385" s="7"/>
      <c r="I385" s="7"/>
      <c r="J385" s="7"/>
    </row>
    <row r="386" spans="4:10" s="9" customFormat="1" ht="15">
      <c r="D386" s="7"/>
      <c r="E386" s="7"/>
      <c r="F386" s="7"/>
      <c r="G386" s="7"/>
      <c r="H386" s="7"/>
      <c r="I386" s="7"/>
      <c r="J386" s="7"/>
    </row>
    <row r="387" spans="4:10" s="9" customFormat="1" ht="15">
      <c r="D387" s="7"/>
      <c r="E387" s="7"/>
      <c r="F387" s="7"/>
      <c r="G387" s="7"/>
      <c r="H387" s="7"/>
      <c r="I387" s="7"/>
      <c r="J387" s="7"/>
    </row>
    <row r="388" spans="4:10" s="9" customFormat="1" ht="15">
      <c r="D388" s="7"/>
      <c r="E388" s="7"/>
      <c r="F388" s="7"/>
      <c r="G388" s="7"/>
      <c r="H388" s="7"/>
      <c r="I388" s="7"/>
      <c r="J388" s="7"/>
    </row>
    <row r="389" spans="4:10" s="9" customFormat="1" ht="15">
      <c r="D389" s="7"/>
      <c r="E389" s="7"/>
      <c r="F389" s="7"/>
      <c r="G389" s="7"/>
      <c r="H389" s="7"/>
      <c r="I389" s="7"/>
      <c r="J389" s="7"/>
    </row>
    <row r="390" spans="4:10" s="9" customFormat="1" ht="15">
      <c r="D390" s="7"/>
      <c r="E390" s="7"/>
      <c r="F390" s="7"/>
      <c r="G390" s="7"/>
      <c r="H390" s="7"/>
      <c r="I390" s="7"/>
      <c r="J390" s="7"/>
    </row>
    <row r="391" spans="4:10" s="9" customFormat="1" ht="15">
      <c r="D391" s="7"/>
      <c r="E391" s="7"/>
      <c r="F391" s="7"/>
      <c r="G391" s="7"/>
      <c r="H391" s="7"/>
      <c r="I391" s="7"/>
      <c r="J391" s="7"/>
    </row>
    <row r="392" spans="4:10" s="9" customFormat="1" ht="15">
      <c r="D392" s="7"/>
      <c r="E392" s="7"/>
      <c r="F392" s="7"/>
      <c r="G392" s="7"/>
      <c r="H392" s="7"/>
      <c r="I392" s="7"/>
      <c r="J392" s="7"/>
    </row>
    <row r="393" spans="4:10" s="9" customFormat="1" ht="15">
      <c r="D393" s="7"/>
      <c r="E393" s="7"/>
      <c r="F393" s="7"/>
      <c r="G393" s="7"/>
      <c r="H393" s="7"/>
      <c r="I393" s="7"/>
      <c r="J393" s="7"/>
    </row>
    <row r="394" spans="4:10" s="9" customFormat="1" ht="15">
      <c r="D394" s="7"/>
      <c r="E394" s="7"/>
      <c r="F394" s="7"/>
      <c r="G394" s="7"/>
      <c r="H394" s="7"/>
      <c r="I394" s="7"/>
      <c r="J394" s="7"/>
    </row>
    <row r="395" spans="4:10" s="9" customFormat="1" ht="15">
      <c r="D395" s="7"/>
      <c r="E395" s="7"/>
      <c r="F395" s="7"/>
      <c r="G395" s="7"/>
      <c r="H395" s="7"/>
      <c r="I395" s="7"/>
      <c r="J395" s="7"/>
    </row>
  </sheetData>
  <sheetProtection algorithmName="SHA-512" hashValue="uINrnXOaV62mSc4tT6aoo4esMR5/MM0g70XfzQ8k0oVoJoquaTU9dRvk/YsUDWxSOjQf7/CfTzVdmqdOo9UJQQ==" saltValue="CEQlpIc1rYWsfrl9Jzn+tQ==" spinCount="100000" sheet="1" objects="1" scenarios="1"/>
  <customSheetViews>
    <customSheetView guid="{f83e6c32-9ca9-4d68-a458-d85a3be4e196}" hiddenColumns="1" scale="60" topLeftCell="A1">
      <selection pane="topLeft" activeCell="C7" sqref="C7"/>
      <pageMargins left="0.07" right="0.46" top="0.5" bottom="0.15" header="0.5" footer="0.13"/>
      <pageSetup horizontalDpi="300" verticalDpi="300" orientation="landscape" paperSize="9" scale="60" r:id="rId3"/>
      <headerFooter alignWithMargins="0"/>
    </customSheetView>
  </customSheetViews>
  <mergeCells count="29">
    <mergeCell ref="A32:L32"/>
    <mergeCell ref="K26:K27"/>
    <mergeCell ref="L26:L27"/>
    <mergeCell ref="G13:H14"/>
    <mergeCell ref="E20:G20"/>
    <mergeCell ref="E19:G19"/>
    <mergeCell ref="E18:G18"/>
    <mergeCell ref="E17:G17"/>
    <mergeCell ref="D13:F14"/>
    <mergeCell ref="K14:K15"/>
    <mergeCell ref="K17:K18"/>
    <mergeCell ref="L17:L18"/>
    <mergeCell ref="K20:K21"/>
    <mergeCell ref="J9:J31"/>
    <mergeCell ref="L14:L15"/>
    <mergeCell ref="K23:K24"/>
    <mergeCell ref="A1:L5"/>
    <mergeCell ref="K8:K9"/>
    <mergeCell ref="L8:L9"/>
    <mergeCell ref="K11:K12"/>
    <mergeCell ref="L11:L12"/>
    <mergeCell ref="A6:J7"/>
    <mergeCell ref="G10:H11"/>
    <mergeCell ref="D10:F11"/>
    <mergeCell ref="L23:L24"/>
    <mergeCell ref="K29:K30"/>
    <mergeCell ref="L29:L30"/>
    <mergeCell ref="L20:L21"/>
    <mergeCell ref="K6:L7"/>
  </mergeCells>
  <conditionalFormatting sqref="A1">
    <cfRule type="cellIs" priority="8" dxfId="55" operator="equal">
      <formula>"Director eOrder"</formula>
    </cfRule>
    <cfRule type="cellIs" priority="9" dxfId="54" operator="equal">
      <formula>"NextGen eOrder"</formula>
    </cfRule>
    <cfRule type="cellIs" priority="12" dxfId="48" operator="equal">
      <formula>"NextGen eOrder"</formula>
    </cfRule>
    <cfRule type="cellIs" priority="13" dxfId="0" operator="equal">
      <formula>"Director eOrder"</formula>
    </cfRule>
    <cfRule type="containsText" priority="14" dxfId="0" operator="containsText" text="NextGen">
      <formula>NOT(ISERROR(SEARCH("NextGen",A1)))</formula>
    </cfRule>
  </conditionalFormatting>
  <conditionalFormatting sqref="E17:G20">
    <cfRule type="cellIs" priority="15" dxfId="58" operator="greaterThan">
      <formula>"&gt;0"</formula>
    </cfRule>
  </conditionalFormatting>
  <conditionalFormatting sqref="G10:H11">
    <cfRule type="cellIs" priority="10" dxfId="56" operator="equal">
      <formula>"YES"</formula>
    </cfRule>
  </conditionalFormatting>
  <conditionalFormatting sqref="G13:H14">
    <cfRule type="cellIs" priority="6" dxfId="56" operator="equal">
      <formula>"YES"</formula>
    </cfRule>
  </conditionalFormatting>
  <pageMargins left="0.236220472440945" right="0.236220472440945" top="0.354330708661417" bottom="0.354330708661417" header="0.31496062992126" footer="0.31496062992126"/>
  <pageSetup orientation="landscape" paperSize="9" scale="99" r:id="rId2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5666-47BE-4919-B697-887E8263C31D}">
  <sheetPr>
    <pageSetUpPr fitToPage="1"/>
  </sheetPr>
  <dimension ref="A1:F398"/>
  <sheetViews>
    <sheetView zoomScaleSheetLayoutView="55" workbookViewId="0" topLeftCell="A1">
      <pane ySplit="8" topLeftCell="A9" activePane="bottomLeft" state="frozen"/>
      <selection pane="topLeft" activeCell="A1" sqref="A1"/>
      <selection pane="bottomLeft" activeCell="A8" sqref="A8:F28"/>
    </sheetView>
  </sheetViews>
  <sheetFormatPr defaultColWidth="32.42578125" defaultRowHeight="15"/>
  <cols>
    <col min="1" max="4" width="32.4285714285714" style="7"/>
    <col min="5" max="5" width="55.5714285714286" style="7" customWidth="1"/>
    <col min="6" max="6" width="75.5714285714286" style="7" customWidth="1"/>
    <col min="7" max="16384" width="32.4285714285714" style="7"/>
  </cols>
  <sheetData>
    <row r="1" spans="1:6" ht="12" customHeight="1">
      <c r="A1" s="562" t="s">
        <v>238</v>
      </c>
      <c r="B1" s="562"/>
      <c r="C1" s="562"/>
      <c r="D1" s="562"/>
      <c r="E1" s="562"/>
      <c r="F1" s="562"/>
    </row>
    <row r="2" spans="1:6" ht="12" customHeight="1">
      <c r="A2" s="562"/>
      <c r="B2" s="562"/>
      <c r="C2" s="562"/>
      <c r="D2" s="562"/>
      <c r="E2" s="562"/>
      <c r="F2" s="562"/>
    </row>
    <row r="3" spans="1:6" ht="14.1" customHeight="1">
      <c r="A3" s="562"/>
      <c r="B3" s="562"/>
      <c r="C3" s="562"/>
      <c r="D3" s="562"/>
      <c r="E3" s="562"/>
      <c r="F3" s="562"/>
    </row>
    <row r="4" spans="1:6" ht="12" customHeight="1">
      <c r="A4" s="562"/>
      <c r="B4" s="562"/>
      <c r="C4" s="562"/>
      <c r="D4" s="562"/>
      <c r="E4" s="562"/>
      <c r="F4" s="562"/>
    </row>
    <row r="5" spans="1:6" ht="12" customHeight="1">
      <c r="A5" s="581"/>
      <c r="B5" s="581"/>
      <c r="C5" s="581"/>
      <c r="D5" s="581"/>
      <c r="E5" s="581"/>
      <c r="F5" s="581"/>
    </row>
    <row r="6" spans="1:6" ht="16.5" customHeight="1">
      <c r="A6" s="583" t="s">
        <v>438</v>
      </c>
      <c r="B6" s="583"/>
      <c r="C6" s="583"/>
      <c r="D6" s="583"/>
      <c r="E6" s="583"/>
      <c r="F6" s="583"/>
    </row>
    <row r="7" spans="1:6" ht="16.5" customHeight="1">
      <c r="A7" s="584"/>
      <c r="B7" s="584"/>
      <c r="C7" s="584"/>
      <c r="D7" s="584"/>
      <c r="E7" s="584"/>
      <c r="F7" s="584"/>
    </row>
    <row r="8" spans="1:6" s="433" customFormat="1" ht="16.5" customHeight="1">
      <c r="A8" s="445" t="s">
        <v>284</v>
      </c>
      <c r="B8" s="446" t="s">
        <v>285</v>
      </c>
      <c r="C8" s="447" t="s">
        <v>440</v>
      </c>
      <c r="D8" s="446" t="s">
        <v>286</v>
      </c>
      <c r="E8" s="447" t="s">
        <v>283</v>
      </c>
      <c r="F8" s="447" t="s">
        <v>441</v>
      </c>
    </row>
    <row r="9" spans="1:6" ht="29.25" customHeight="1">
      <c r="A9" s="448"/>
      <c r="B9" s="448"/>
      <c r="C9" s="448"/>
      <c r="D9" s="448"/>
      <c r="E9" s="448"/>
      <c r="F9" s="448"/>
    </row>
    <row r="10" spans="1:6" s="8" customFormat="1" ht="16.5" customHeight="1">
      <c r="A10" s="449"/>
      <c r="B10" s="449"/>
      <c r="C10" s="449"/>
      <c r="D10" s="449"/>
      <c r="E10" s="449"/>
      <c r="F10" s="449"/>
    </row>
    <row r="11" spans="1:6" s="8" customFormat="1" ht="16.5" customHeight="1">
      <c r="A11" s="449"/>
      <c r="B11" s="449"/>
      <c r="C11" s="449"/>
      <c r="D11" s="449"/>
      <c r="E11" s="449"/>
      <c r="F11" s="449"/>
    </row>
    <row r="12" spans="1:6" s="8" customFormat="1" ht="16.5" customHeight="1">
      <c r="A12" s="449"/>
      <c r="B12" s="449"/>
      <c r="C12" s="449"/>
      <c r="D12" s="449"/>
      <c r="E12" s="449"/>
      <c r="F12" s="449"/>
    </row>
    <row r="13" spans="1:6" s="8" customFormat="1" ht="16.5" customHeight="1">
      <c r="A13" s="449"/>
      <c r="B13" s="449"/>
      <c r="C13" s="449"/>
      <c r="D13" s="449"/>
      <c r="E13" s="449"/>
      <c r="F13" s="449"/>
    </row>
    <row r="14" spans="1:6" s="8" customFormat="1" ht="16.5" customHeight="1">
      <c r="A14" s="449"/>
      <c r="B14" s="449"/>
      <c r="C14" s="449"/>
      <c r="D14" s="449"/>
      <c r="E14" s="449"/>
      <c r="F14" s="449"/>
    </row>
    <row r="15" spans="1:6" s="8" customFormat="1" ht="16.5" customHeight="1">
      <c r="A15" s="449"/>
      <c r="B15" s="449"/>
      <c r="C15" s="449"/>
      <c r="D15" s="449"/>
      <c r="E15" s="449"/>
      <c r="F15" s="449"/>
    </row>
    <row r="16" spans="1:6" s="8" customFormat="1" ht="16.5" customHeight="1">
      <c r="A16" s="449"/>
      <c r="B16" s="449"/>
      <c r="C16" s="449"/>
      <c r="D16" s="449"/>
      <c r="E16" s="449"/>
      <c r="F16" s="449"/>
    </row>
    <row r="17" spans="1:6" s="8" customFormat="1" ht="16.5" customHeight="1">
      <c r="A17" s="449"/>
      <c r="B17" s="449"/>
      <c r="C17" s="449"/>
      <c r="D17" s="449"/>
      <c r="E17" s="449"/>
      <c r="F17" s="449"/>
    </row>
    <row r="18" spans="1:6" s="8" customFormat="1" ht="16.5" customHeight="1">
      <c r="A18" s="449"/>
      <c r="B18" s="449"/>
      <c r="C18" s="449"/>
      <c r="D18" s="449"/>
      <c r="E18" s="449"/>
      <c r="F18" s="449"/>
    </row>
    <row r="19" spans="1:6" s="8" customFormat="1" ht="16.5" customHeight="1">
      <c r="A19" s="449"/>
      <c r="B19" s="449"/>
      <c r="C19" s="449"/>
      <c r="D19" s="449"/>
      <c r="E19" s="449"/>
      <c r="F19" s="449"/>
    </row>
    <row r="20" spans="1:6" s="8" customFormat="1" ht="16.5" customHeight="1">
      <c r="A20" s="449"/>
      <c r="B20" s="449"/>
      <c r="C20" s="449"/>
      <c r="D20" s="449"/>
      <c r="E20" s="449"/>
      <c r="F20" s="449"/>
    </row>
    <row r="21" spans="1:6" s="8" customFormat="1" ht="16.5" customHeight="1">
      <c r="A21" s="449"/>
      <c r="B21" s="449"/>
      <c r="C21" s="449"/>
      <c r="D21" s="449"/>
      <c r="E21" s="449"/>
      <c r="F21" s="449"/>
    </row>
    <row r="22" spans="1:6" s="8" customFormat="1" ht="16.5" customHeight="1">
      <c r="A22" s="449"/>
      <c r="B22" s="449"/>
      <c r="C22" s="449"/>
      <c r="D22" s="449"/>
      <c r="E22" s="449"/>
      <c r="F22" s="449"/>
    </row>
    <row r="23" spans="1:6" s="8" customFormat="1" ht="16.5" customHeight="1">
      <c r="A23" s="449"/>
      <c r="B23" s="449"/>
      <c r="C23" s="449"/>
      <c r="D23" s="449"/>
      <c r="E23" s="449"/>
      <c r="F23" s="449"/>
    </row>
    <row r="24" spans="1:6" ht="16.5" customHeight="1">
      <c r="A24" s="448"/>
      <c r="B24" s="448"/>
      <c r="C24" s="448"/>
      <c r="D24" s="448"/>
      <c r="E24" s="448"/>
      <c r="F24" s="448"/>
    </row>
    <row r="25" spans="1:6" ht="16.5" customHeight="1">
      <c r="A25" s="448"/>
      <c r="B25" s="448"/>
      <c r="C25" s="448"/>
      <c r="D25" s="448"/>
      <c r="E25" s="448"/>
      <c r="F25" s="448"/>
    </row>
    <row r="26" spans="1:6" ht="16.5" customHeight="1">
      <c r="A26" s="448"/>
      <c r="B26" s="448"/>
      <c r="C26" s="448"/>
      <c r="D26" s="448"/>
      <c r="E26" s="448"/>
      <c r="F26" s="448"/>
    </row>
    <row r="27" spans="1:6" ht="16.5" customHeight="1">
      <c r="A27" s="448"/>
      <c r="B27" s="448"/>
      <c r="C27" s="448"/>
      <c r="D27" s="448"/>
      <c r="E27" s="448"/>
      <c r="F27" s="448"/>
    </row>
    <row r="28" spans="1:6" ht="16.5" customHeight="1">
      <c r="A28" s="448"/>
      <c r="B28" s="448"/>
      <c r="C28" s="448"/>
      <c r="D28" s="448"/>
      <c r="E28" s="448"/>
      <c r="F28" s="448"/>
    </row>
    <row r="29" spans="1:6" ht="16.5" customHeight="1">
      <c r="A29" s="448"/>
      <c r="B29" s="448"/>
      <c r="C29" s="448"/>
      <c r="D29" s="448"/>
      <c r="E29" s="448"/>
      <c r="F29" s="448"/>
    </row>
    <row r="30" spans="1:6" s="9" customFormat="1" ht="16.5" customHeight="1">
      <c r="A30" s="450"/>
      <c r="B30" s="450"/>
      <c r="C30" s="450"/>
      <c r="D30" s="450"/>
      <c r="E30" s="450"/>
      <c r="F30" s="450"/>
    </row>
    <row r="31" spans="1:6" s="9" customFormat="1" ht="16.5" customHeight="1">
      <c r="A31" s="450"/>
      <c r="B31" s="450"/>
      <c r="C31" s="450"/>
      <c r="D31" s="450"/>
      <c r="E31" s="450"/>
      <c r="F31" s="450"/>
    </row>
    <row r="32" spans="1:6" s="9" customFormat="1" ht="16.5" customHeight="1">
      <c r="A32" s="451"/>
      <c r="B32" s="451"/>
      <c r="C32" s="451"/>
      <c r="D32" s="451"/>
      <c r="E32" s="451"/>
      <c r="F32" s="451"/>
    </row>
    <row r="33" spans="1:6" s="9" customFormat="1" ht="16.5" customHeight="1">
      <c r="A33" s="452"/>
      <c r="B33" s="453"/>
      <c r="C33" s="450"/>
      <c r="D33" s="450"/>
      <c r="E33" s="450"/>
      <c r="F33" s="450"/>
    </row>
    <row r="34" spans="1:6" s="9" customFormat="1" ht="16.5" customHeight="1">
      <c r="A34" s="450"/>
      <c r="B34" s="450"/>
      <c r="C34" s="450"/>
      <c r="D34" s="450"/>
      <c r="E34" s="450"/>
      <c r="F34" s="450"/>
    </row>
    <row r="35" spans="1:6" s="9" customFormat="1" ht="15">
      <c r="A35" s="602" t="s">
        <v>237</v>
      </c>
      <c r="B35" s="602"/>
      <c r="C35" s="602"/>
      <c r="D35" s="602"/>
      <c r="E35" s="602"/>
      <c r="F35" s="602"/>
    </row>
    <row r="36" s="9" customFormat="1" ht="15"/>
    <row r="37" s="9" customFormat="1" ht="15"/>
    <row r="38" s="9" customFormat="1" ht="15"/>
    <row r="39" s="9" customFormat="1" ht="15"/>
    <row r="40" s="9" customFormat="1" ht="15"/>
    <row r="41" s="9" customFormat="1" ht="15"/>
    <row r="42" s="9" customFormat="1" ht="15"/>
    <row r="43" s="9" customFormat="1" ht="15"/>
    <row r="44" s="9" customFormat="1" ht="15"/>
    <row r="45" s="9" customFormat="1" ht="15"/>
    <row r="46" s="9" customFormat="1" ht="15"/>
    <row r="47" s="9" customFormat="1" ht="15"/>
    <row r="48" s="9" customFormat="1" ht="15"/>
    <row r="49" s="9" customFormat="1" ht="15"/>
    <row r="50" s="9" customFormat="1" ht="15"/>
    <row r="51" s="9" customFormat="1" ht="15"/>
    <row r="52" s="9" customFormat="1" ht="15"/>
    <row r="53" s="9" customFormat="1" ht="15"/>
    <row r="54" s="9" customFormat="1" ht="15"/>
    <row r="55" s="9" customFormat="1" ht="15"/>
    <row r="56" s="9" customFormat="1" ht="15"/>
    <row r="57" s="9" customFormat="1" ht="15"/>
    <row r="58" s="9" customFormat="1" ht="15"/>
    <row r="59" s="9" customFormat="1" ht="15"/>
    <row r="60" s="9" customFormat="1" ht="15"/>
    <row r="61" s="9" customFormat="1" ht="15"/>
    <row r="62" s="9" customFormat="1" ht="15"/>
    <row r="63" s="9" customFormat="1" ht="15"/>
    <row r="64" s="9" customFormat="1" ht="15"/>
    <row r="65" s="9" customFormat="1" ht="15"/>
    <row r="66" s="9" customFormat="1" ht="15"/>
    <row r="67" s="9" customFormat="1" ht="15"/>
    <row r="68" s="9" customFormat="1" ht="15"/>
    <row r="69" s="9" customFormat="1" ht="15"/>
    <row r="70" s="9" customFormat="1" ht="15"/>
    <row r="71" s="9" customFormat="1" ht="15"/>
    <row r="72" s="9" customFormat="1" ht="15"/>
    <row r="73" s="9" customFormat="1" ht="15"/>
    <row r="74" s="9" customFormat="1" ht="15"/>
    <row r="75" s="9" customFormat="1" ht="15"/>
    <row r="76" s="9" customFormat="1" ht="15"/>
    <row r="77" s="9" customFormat="1" ht="15"/>
    <row r="78" s="9" customFormat="1" ht="15"/>
    <row r="79" s="9" customFormat="1" ht="15"/>
    <row r="80" s="9" customFormat="1" ht="15"/>
    <row r="81" s="9" customFormat="1" ht="15"/>
    <row r="82" s="9" customFormat="1" ht="15"/>
    <row r="83" s="9" customFormat="1" ht="15"/>
    <row r="84" s="9" customFormat="1" ht="15"/>
    <row r="85" s="9" customFormat="1" ht="15"/>
    <row r="86" s="9" customFormat="1" ht="15"/>
    <row r="87" s="9" customFormat="1" ht="15"/>
    <row r="88" s="9" customFormat="1" ht="15"/>
    <row r="89" s="9" customFormat="1" ht="15"/>
    <row r="90" s="9" customFormat="1" ht="15"/>
    <row r="91" s="9" customFormat="1" ht="15"/>
    <row r="92" s="9" customFormat="1" ht="15"/>
    <row r="93" s="9" customFormat="1" ht="15"/>
    <row r="94" s="9" customFormat="1" ht="15"/>
    <row r="95" s="9" customFormat="1" ht="15"/>
    <row r="96" s="9" customFormat="1" ht="15"/>
    <row r="97" s="9" customFormat="1" ht="15"/>
    <row r="98" s="9" customFormat="1" ht="15"/>
    <row r="99" s="9" customFormat="1" ht="15"/>
    <row r="100" s="9" customFormat="1" ht="15"/>
    <row r="101" s="9" customFormat="1" ht="15"/>
    <row r="102" s="9" customFormat="1" ht="15"/>
    <row r="103" s="9" customFormat="1" ht="15"/>
    <row r="104" s="9" customFormat="1" ht="15"/>
    <row r="105" s="9" customFormat="1" ht="15"/>
    <row r="106" s="9" customFormat="1" ht="15"/>
    <row r="107" s="9" customFormat="1" ht="15"/>
    <row r="108" s="9" customFormat="1" ht="15"/>
    <row r="109" s="9" customFormat="1" ht="15"/>
    <row r="110" s="9" customFormat="1" ht="15"/>
    <row r="111" s="9" customFormat="1" ht="15"/>
    <row r="112" s="9" customFormat="1" ht="15"/>
    <row r="113" s="9" customFormat="1" ht="15"/>
    <row r="114" s="9" customFormat="1" ht="15"/>
    <row r="115" s="9" customFormat="1" ht="15"/>
    <row r="116" s="9" customFormat="1" ht="15"/>
    <row r="117" s="9" customFormat="1" ht="15"/>
    <row r="118" s="9" customFormat="1" ht="15"/>
    <row r="119" s="9" customFormat="1" ht="15"/>
    <row r="120" s="9" customFormat="1" ht="15"/>
    <row r="121" s="9" customFormat="1" ht="15"/>
    <row r="122" s="9" customFormat="1" ht="15"/>
    <row r="123" s="9" customFormat="1" ht="15"/>
    <row r="124" s="9" customFormat="1" ht="15"/>
    <row r="125" s="9" customFormat="1" ht="15"/>
    <row r="126" s="9" customFormat="1" ht="15"/>
    <row r="127" s="9" customFormat="1" ht="15"/>
    <row r="128" s="9" customFormat="1" ht="15"/>
    <row r="129" s="9" customFormat="1" ht="15"/>
    <row r="130" s="9" customFormat="1" ht="15"/>
    <row r="131" s="9" customFormat="1" ht="15"/>
    <row r="132" s="9" customFormat="1" ht="15"/>
    <row r="133" s="9" customFormat="1" ht="15"/>
    <row r="134" s="9" customFormat="1" ht="15"/>
    <row r="135" s="9" customFormat="1" ht="15"/>
    <row r="136" s="9" customFormat="1" ht="15"/>
    <row r="137" s="9" customFormat="1" ht="15"/>
    <row r="138" s="9" customFormat="1" ht="15"/>
    <row r="139" s="9" customFormat="1" ht="15"/>
    <row r="140" s="9" customFormat="1" ht="15"/>
    <row r="141" s="9" customFormat="1" ht="15"/>
    <row r="142" s="9" customFormat="1" ht="15"/>
    <row r="143" s="9" customFormat="1" ht="15"/>
    <row r="144" s="9" customFormat="1" ht="15"/>
    <row r="145" s="9" customFormat="1" ht="15"/>
    <row r="146" s="9" customFormat="1" ht="15"/>
    <row r="147" s="9" customFormat="1" ht="15"/>
    <row r="148" s="9" customFormat="1" ht="15"/>
    <row r="149" s="9" customFormat="1" ht="15"/>
    <row r="150" s="9" customFormat="1" ht="15"/>
    <row r="151" s="9" customFormat="1" ht="15"/>
    <row r="152" s="9" customFormat="1" ht="15"/>
    <row r="153" s="9" customFormat="1" ht="15"/>
    <row r="154" s="9" customFormat="1" ht="15"/>
    <row r="155" s="9" customFormat="1" ht="15"/>
    <row r="156" s="9" customFormat="1" ht="15"/>
    <row r="157" s="9" customFormat="1" ht="15"/>
    <row r="158" s="9" customFormat="1" ht="15"/>
    <row r="159" s="9" customFormat="1" ht="15"/>
    <row r="160" s="9" customFormat="1" ht="15"/>
    <row r="161" s="9" customFormat="1" ht="15"/>
    <row r="162" s="9" customFormat="1" ht="15"/>
    <row r="163" s="9" customFormat="1" ht="15"/>
    <row r="164" s="9" customFormat="1" ht="15"/>
    <row r="165" s="9" customFormat="1" ht="15"/>
    <row r="166" s="9" customFormat="1" ht="15"/>
    <row r="167" s="9" customFormat="1" ht="15"/>
    <row r="168" s="9" customFormat="1" ht="15"/>
    <row r="169" s="9" customFormat="1" ht="15"/>
    <row r="170" s="9" customFormat="1" ht="15"/>
    <row r="171" s="9" customFormat="1" ht="15"/>
    <row r="172" s="9" customFormat="1" ht="15"/>
    <row r="173" s="9" customFormat="1" ht="15"/>
    <row r="174" s="9" customFormat="1" ht="15"/>
    <row r="175" s="9" customFormat="1" ht="15"/>
    <row r="176" s="9" customFormat="1" ht="15"/>
    <row r="177" s="9" customFormat="1" ht="15"/>
    <row r="178" s="9" customFormat="1" ht="15"/>
    <row r="179" s="9" customFormat="1" ht="15"/>
    <row r="180" s="9" customFormat="1" ht="15"/>
    <row r="181" s="9" customFormat="1" ht="15"/>
    <row r="182" s="9" customFormat="1" ht="15"/>
    <row r="183" s="9" customFormat="1" ht="15"/>
    <row r="184" s="9" customFormat="1" ht="15"/>
    <row r="185" s="9" customFormat="1" ht="15"/>
    <row r="186" s="9" customFormat="1" ht="15"/>
    <row r="187" s="9" customFormat="1" ht="15"/>
    <row r="188" s="9" customFormat="1" ht="15"/>
    <row r="189" s="9" customFormat="1" ht="15"/>
    <row r="190" s="9" customFormat="1" ht="15"/>
    <row r="191" s="9" customFormat="1" ht="15"/>
    <row r="192" s="9" customFormat="1" ht="15"/>
    <row r="193" s="9" customFormat="1" ht="15"/>
    <row r="194" s="9" customFormat="1" ht="15"/>
    <row r="195" s="9" customFormat="1" ht="15"/>
    <row r="196" s="9" customFormat="1" ht="15"/>
    <row r="197" s="9" customFormat="1" ht="15"/>
    <row r="198" s="9" customFormat="1" ht="15"/>
    <row r="199" s="9" customFormat="1" ht="15"/>
    <row r="200" s="9" customFormat="1" ht="15"/>
    <row r="201" s="9" customFormat="1" ht="15"/>
    <row r="202" s="9" customFormat="1" ht="15"/>
    <row r="203" s="9" customFormat="1" ht="15"/>
    <row r="204" s="9" customFormat="1" ht="15"/>
    <row r="205" s="9" customFormat="1" ht="15"/>
    <row r="206" s="9" customFormat="1" ht="15"/>
    <row r="207" s="9" customFormat="1" ht="15"/>
    <row r="208" s="9" customFormat="1" ht="15"/>
    <row r="209" s="9" customFormat="1" ht="15"/>
    <row r="210" s="9" customFormat="1" ht="15"/>
    <row r="211" s="9" customFormat="1" ht="15"/>
    <row r="212" s="9" customFormat="1" ht="15"/>
    <row r="213" s="9" customFormat="1" ht="15"/>
    <row r="214" s="9" customFormat="1" ht="15"/>
    <row r="215" s="9" customFormat="1" ht="15"/>
    <row r="216" s="9" customFormat="1" ht="15"/>
    <row r="217" s="9" customFormat="1" ht="15"/>
    <row r="218" s="9" customFormat="1" ht="15"/>
    <row r="219" s="9" customFormat="1" ht="15"/>
    <row r="220" s="9" customFormat="1" ht="15"/>
    <row r="221" s="9" customFormat="1" ht="15"/>
    <row r="222" s="9" customFormat="1" ht="15"/>
    <row r="223" s="9" customFormat="1" ht="15"/>
    <row r="224" s="9" customFormat="1" ht="15"/>
    <row r="225" s="9" customFormat="1" ht="15"/>
    <row r="226" s="9" customFormat="1" ht="15"/>
    <row r="227" s="9" customFormat="1" ht="15"/>
    <row r="228" s="9" customFormat="1" ht="15"/>
    <row r="229" s="9" customFormat="1" ht="15"/>
    <row r="230" s="9" customFormat="1" ht="15"/>
    <row r="231" s="9" customFormat="1" ht="15"/>
    <row r="232" s="9" customFormat="1" ht="15"/>
    <row r="233" s="9" customFormat="1" ht="15"/>
    <row r="234" s="9" customFormat="1" ht="15"/>
    <row r="235" s="9" customFormat="1" ht="15"/>
    <row r="236" s="9" customFormat="1" ht="15"/>
    <row r="237" s="9" customFormat="1" ht="15"/>
    <row r="238" s="9" customFormat="1" ht="15"/>
    <row r="239" s="9" customFormat="1" ht="15"/>
    <row r="240" s="9" customFormat="1" ht="15"/>
    <row r="241" s="9" customFormat="1" ht="15"/>
    <row r="242" s="9" customFormat="1" ht="15"/>
    <row r="243" s="9" customFormat="1" ht="15"/>
    <row r="244" s="9" customFormat="1" ht="15"/>
    <row r="245" s="9" customFormat="1" ht="15"/>
    <row r="246" s="9" customFormat="1" ht="15"/>
    <row r="247" s="9" customFormat="1" ht="15"/>
    <row r="248" s="9" customFormat="1" ht="15"/>
    <row r="249" s="9" customFormat="1" ht="15"/>
    <row r="250" s="9" customFormat="1" ht="15"/>
    <row r="251" s="9" customFormat="1" ht="15"/>
    <row r="252" s="9" customFormat="1" ht="15"/>
    <row r="253" s="9" customFormat="1" ht="15"/>
    <row r="254" s="9" customFormat="1" ht="15"/>
    <row r="255" s="9" customFormat="1" ht="15"/>
    <row r="256" s="9" customFormat="1" ht="15"/>
    <row r="257" s="9" customFormat="1" ht="15"/>
    <row r="258" s="9" customFormat="1" ht="15"/>
    <row r="259" s="9" customFormat="1" ht="15"/>
    <row r="260" s="9" customFormat="1" ht="15"/>
    <row r="261" s="9" customFormat="1" ht="15"/>
    <row r="262" s="9" customFormat="1" ht="15"/>
    <row r="263" s="9" customFormat="1" ht="15"/>
    <row r="264" s="9" customFormat="1" ht="15"/>
    <row r="265" s="9" customFormat="1" ht="15"/>
    <row r="266" s="9" customFormat="1" ht="15"/>
    <row r="267" s="9" customFormat="1" ht="15"/>
    <row r="268" s="9" customFormat="1" ht="15"/>
    <row r="269" s="9" customFormat="1" ht="15"/>
    <row r="270" s="9" customFormat="1" ht="15"/>
    <row r="271" s="9" customFormat="1" ht="15"/>
    <row r="272" s="9" customFormat="1" ht="15"/>
    <row r="273" s="9" customFormat="1" ht="15"/>
    <row r="274" s="9" customFormat="1" ht="15"/>
    <row r="275" s="9" customFormat="1" ht="15"/>
    <row r="276" s="9" customFormat="1" ht="15"/>
    <row r="277" s="9" customFormat="1" ht="15"/>
    <row r="278" s="9" customFormat="1" ht="15"/>
    <row r="279" s="9" customFormat="1" ht="15"/>
    <row r="280" s="9" customFormat="1" ht="15"/>
    <row r="281" s="9" customFormat="1" ht="15"/>
    <row r="282" s="9" customFormat="1" ht="15"/>
    <row r="283" s="9" customFormat="1" ht="15"/>
    <row r="284" s="9" customFormat="1" ht="15"/>
    <row r="285" s="9" customFormat="1" ht="15"/>
    <row r="286" s="9" customFormat="1" ht="15"/>
    <row r="287" s="9" customFormat="1" ht="15"/>
    <row r="288" s="9" customFormat="1" ht="15"/>
    <row r="289" s="9" customFormat="1" ht="15"/>
    <row r="290" s="9" customFormat="1" ht="15"/>
    <row r="291" s="9" customFormat="1" ht="15"/>
    <row r="292" s="9" customFormat="1" ht="15"/>
    <row r="293" s="9" customFormat="1" ht="15"/>
    <row r="294" s="9" customFormat="1" ht="15"/>
    <row r="295" s="9" customFormat="1" ht="15"/>
    <row r="296" s="9" customFormat="1" ht="15"/>
    <row r="297" s="9" customFormat="1" ht="15"/>
    <row r="298" s="9" customFormat="1" ht="15"/>
    <row r="299" s="9" customFormat="1" ht="15"/>
    <row r="300" s="9" customFormat="1" ht="15"/>
    <row r="301" s="9" customFormat="1" ht="15"/>
    <row r="302" s="9" customFormat="1" ht="15"/>
    <row r="303" s="9" customFormat="1" ht="15"/>
    <row r="304" s="9" customFormat="1" ht="15"/>
    <row r="305" s="9" customFormat="1" ht="15"/>
    <row r="306" s="9" customFormat="1" ht="15"/>
    <row r="307" s="9" customFormat="1" ht="15"/>
    <row r="308" s="9" customFormat="1" ht="15"/>
    <row r="309" s="9" customFormat="1" ht="15"/>
    <row r="310" s="9" customFormat="1" ht="15"/>
    <row r="311" s="9" customFormat="1" ht="15"/>
    <row r="312" s="9" customFormat="1" ht="15"/>
    <row r="313" s="9" customFormat="1" ht="15"/>
    <row r="314" s="9" customFormat="1" ht="15"/>
    <row r="315" s="9" customFormat="1" ht="15"/>
    <row r="316" s="9" customFormat="1" ht="15"/>
    <row r="317" s="9" customFormat="1" ht="15"/>
    <row r="318" s="9" customFormat="1" ht="15"/>
    <row r="319" s="9" customFormat="1" ht="15"/>
    <row r="320" s="9" customFormat="1" ht="15"/>
    <row r="321" s="9" customFormat="1" ht="15"/>
    <row r="322" s="9" customFormat="1" ht="15"/>
    <row r="323" s="9" customFormat="1" ht="15"/>
    <row r="324" s="9" customFormat="1" ht="15"/>
    <row r="325" s="9" customFormat="1" ht="15"/>
    <row r="326" s="9" customFormat="1" ht="15"/>
    <row r="327" s="9" customFormat="1" ht="15"/>
    <row r="328" s="9" customFormat="1" ht="15"/>
    <row r="329" s="9" customFormat="1" ht="15"/>
    <row r="330" s="9" customFormat="1" ht="15"/>
    <row r="331" s="9" customFormat="1" ht="15"/>
    <row r="332" s="9" customFormat="1" ht="15"/>
    <row r="333" s="9" customFormat="1" ht="15"/>
    <row r="334" s="9" customFormat="1" ht="15"/>
    <row r="335" s="9" customFormat="1" ht="15"/>
    <row r="336" s="9" customFormat="1" ht="15"/>
    <row r="337" s="9" customFormat="1" ht="15"/>
    <row r="338" s="9" customFormat="1" ht="15"/>
    <row r="339" s="9" customFormat="1" ht="15"/>
    <row r="340" s="9" customFormat="1" ht="15"/>
    <row r="341" s="9" customFormat="1" ht="15"/>
    <row r="342" s="9" customFormat="1" ht="15"/>
    <row r="343" s="9" customFormat="1" ht="15"/>
    <row r="344" s="9" customFormat="1" ht="15"/>
    <row r="345" s="9" customFormat="1" ht="15"/>
    <row r="346" s="9" customFormat="1" ht="15"/>
    <row r="347" s="9" customFormat="1" ht="15"/>
    <row r="348" s="9" customFormat="1" ht="15"/>
    <row r="349" s="9" customFormat="1" ht="15"/>
    <row r="350" s="9" customFormat="1" ht="15"/>
    <row r="351" s="9" customFormat="1" ht="15"/>
    <row r="352" s="9" customFormat="1" ht="15"/>
    <row r="353" s="9" customFormat="1" ht="15"/>
    <row r="354" s="9" customFormat="1" ht="15"/>
    <row r="355" s="9" customFormat="1" ht="15"/>
    <row r="356" s="9" customFormat="1" ht="15"/>
    <row r="357" s="9" customFormat="1" ht="15"/>
    <row r="358" s="9" customFormat="1" ht="15"/>
    <row r="359" s="9" customFormat="1" ht="15"/>
    <row r="360" s="9" customFormat="1" ht="15"/>
    <row r="361" s="9" customFormat="1" ht="15"/>
    <row r="362" s="9" customFormat="1" ht="15"/>
    <row r="363" s="9" customFormat="1" ht="15"/>
    <row r="364" s="9" customFormat="1" ht="15"/>
    <row r="365" s="9" customFormat="1" ht="15"/>
    <row r="366" s="9" customFormat="1" ht="15"/>
    <row r="367" s="9" customFormat="1" ht="15"/>
    <row r="368" s="9" customFormat="1" ht="15"/>
    <row r="369" s="9" customFormat="1" ht="15"/>
    <row r="370" s="9" customFormat="1" ht="15"/>
    <row r="371" s="9" customFormat="1" ht="15"/>
    <row r="372" s="9" customFormat="1" ht="15"/>
    <row r="373" s="9" customFormat="1" ht="15"/>
    <row r="374" s="9" customFormat="1" ht="15"/>
    <row r="375" s="9" customFormat="1" ht="15"/>
    <row r="376" s="9" customFormat="1" ht="15"/>
    <row r="377" s="9" customFormat="1" ht="15"/>
    <row r="378" s="9" customFormat="1" ht="15"/>
    <row r="379" s="9" customFormat="1" ht="15"/>
    <row r="380" spans="4:6" s="9" customFormat="1" ht="15">
      <c r="D380" s="7"/>
      <c r="E380" s="7"/>
      <c r="F380" s="7"/>
    </row>
    <row r="381" spans="4:6" s="9" customFormat="1" ht="15">
      <c r="D381" s="7"/>
      <c r="E381" s="7"/>
      <c r="F381" s="7"/>
    </row>
    <row r="382" spans="4:6" s="9" customFormat="1" ht="15">
      <c r="D382" s="7"/>
      <c r="E382" s="7"/>
      <c r="F382" s="7"/>
    </row>
    <row r="383" spans="4:6" s="9" customFormat="1" ht="15">
      <c r="D383" s="7"/>
      <c r="E383" s="7"/>
      <c r="F383" s="7"/>
    </row>
    <row r="384" spans="4:6" s="9" customFormat="1" ht="15">
      <c r="D384" s="7"/>
      <c r="E384" s="7"/>
      <c r="F384" s="7"/>
    </row>
    <row r="385" spans="4:6" s="9" customFormat="1" ht="15">
      <c r="D385" s="7"/>
      <c r="E385" s="7"/>
      <c r="F385" s="7"/>
    </row>
    <row r="386" spans="4:6" s="9" customFormat="1" ht="15">
      <c r="D386" s="7"/>
      <c r="E386" s="7"/>
      <c r="F386" s="7"/>
    </row>
    <row r="387" spans="4:6" s="9" customFormat="1" ht="15">
      <c r="D387" s="7"/>
      <c r="E387" s="7"/>
      <c r="F387" s="7"/>
    </row>
    <row r="388" spans="4:6" s="9" customFormat="1" ht="15">
      <c r="D388" s="7"/>
      <c r="E388" s="7"/>
      <c r="F388" s="7"/>
    </row>
    <row r="389" spans="4:6" s="9" customFormat="1" ht="15">
      <c r="D389" s="7"/>
      <c r="E389" s="7"/>
      <c r="F389" s="7"/>
    </row>
    <row r="390" spans="4:6" s="9" customFormat="1" ht="15">
      <c r="D390" s="7"/>
      <c r="E390" s="7"/>
      <c r="F390" s="7"/>
    </row>
    <row r="391" spans="4:6" s="9" customFormat="1" ht="15">
      <c r="D391" s="7"/>
      <c r="E391" s="7"/>
      <c r="F391" s="7"/>
    </row>
    <row r="392" spans="4:6" s="9" customFormat="1" ht="15">
      <c r="D392" s="7"/>
      <c r="E392" s="7"/>
      <c r="F392" s="7"/>
    </row>
    <row r="393" spans="4:6" s="9" customFormat="1" ht="15">
      <c r="D393" s="7"/>
      <c r="E393" s="7"/>
      <c r="F393" s="7"/>
    </row>
    <row r="394" spans="4:6" s="9" customFormat="1" ht="15">
      <c r="D394" s="7"/>
      <c r="E394" s="7"/>
      <c r="F394" s="7"/>
    </row>
    <row r="395" spans="4:6" s="9" customFormat="1" ht="15">
      <c r="D395" s="7"/>
      <c r="E395" s="7"/>
      <c r="F395" s="7"/>
    </row>
    <row r="396" spans="4:6" s="9" customFormat="1" ht="15">
      <c r="D396" s="7"/>
      <c r="E396" s="7"/>
      <c r="F396" s="7"/>
    </row>
    <row r="397" spans="4:6" s="9" customFormat="1" ht="15">
      <c r="D397" s="7"/>
      <c r="E397" s="7"/>
      <c r="F397" s="7"/>
    </row>
    <row r="398" spans="4:6" s="9" customFormat="1" ht="15">
      <c r="D398" s="7"/>
      <c r="E398" s="7"/>
      <c r="F398" s="7"/>
    </row>
  </sheetData>
  <sheetProtection algorithmName="SHA-512" hashValue="rnNu42CPhxRvJ5+07B5C+hH4GYfJ2J3u9cxlKOvoiO2FjZq99Prpv3/S/AXcnRiaUAa5/+kITqJTKL2nTqLX0w==" saltValue="KUmQIjYa3sbccb/Xw4g+bA==" spinCount="100000" sheet="1" objects="1" scenarios="1"/>
  <mergeCells count="3">
    <mergeCell ref="A1:F5"/>
    <mergeCell ref="A6:F7"/>
    <mergeCell ref="A35:F35"/>
  </mergeCells>
  <conditionalFormatting sqref="A1">
    <cfRule type="cellIs" priority="2" dxfId="55" operator="equal">
      <formula>"Director eOrder"</formula>
    </cfRule>
    <cfRule type="cellIs" priority="3" dxfId="54" operator="equal">
      <formula>"NextGen eOrder"</formula>
    </cfRule>
    <cfRule type="cellIs" priority="5" dxfId="48" operator="equal">
      <formula>"NextGen eOrder"</formula>
    </cfRule>
    <cfRule type="cellIs" priority="6" dxfId="0" operator="equal">
      <formula>"Director eOrder"</formula>
    </cfRule>
    <cfRule type="containsText" priority="7" dxfId="0" operator="containsText" text="NextGen">
      <formula>NOT(ISERROR(SEARCH("NextGen",A1)))</formula>
    </cfRule>
  </conditionalFormatting>
  <pageMargins left="0.236220472440945" right="0.236220472440945" top="0.354330708661417" bottom="0.354330708661417" header="0.31496062992126" footer="0.31496062992126"/>
  <pageSetup orientation="landscape" paperSize="9" scale="56" r:id="rId2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L205"/>
  <sheetViews>
    <sheetView showGridLines="0" workbookViewId="0" topLeftCell="A1">
      <selection pane="topLeft" activeCell="A17" sqref="A17"/>
    </sheetView>
  </sheetViews>
  <sheetFormatPr defaultColWidth="9.140625" defaultRowHeight="15"/>
  <cols>
    <col min="1" max="2" width="21.2857142857143" style="1" customWidth="1"/>
    <col min="3" max="3" width="12.1428571428571" style="1" customWidth="1"/>
    <col min="4" max="4" width="14.1428571428571" style="1" customWidth="1"/>
    <col min="5" max="5" width="13.7142857142857" style="1" customWidth="1"/>
    <col min="6" max="6" width="20" style="1" customWidth="1"/>
    <col min="7" max="7" width="14.2857142857143" style="1" customWidth="1"/>
    <col min="8" max="9" width="19.1428571428571" style="1" customWidth="1"/>
    <col min="10" max="10" width="10.2857142857143" style="2" customWidth="1"/>
    <col min="11" max="11" width="9.14285714285714" style="1"/>
    <col min="12" max="13" width="0" style="1" hidden="1" customWidth="1"/>
    <col min="14" max="14" width="0" style="1" hidden="1" customWidth="1"/>
    <col min="15" max="16384" width="9.14285714285714" style="1"/>
  </cols>
  <sheetData>
    <row r="1" spans="1:10" ht="12" customHeight="1">
      <c r="A1" s="248"/>
      <c r="B1" s="248"/>
      <c r="C1" s="248"/>
      <c r="D1" s="248"/>
      <c r="E1" s="248"/>
      <c r="F1" s="562" t="s">
        <v>468</v>
      </c>
      <c r="G1" s="562"/>
      <c r="H1" s="562"/>
      <c r="I1" s="562"/>
      <c r="J1" s="562"/>
    </row>
    <row r="2" spans="1:10" ht="12" customHeight="1">
      <c r="A2" s="248"/>
      <c r="B2" s="248"/>
      <c r="C2" s="248"/>
      <c r="D2" s="248"/>
      <c r="E2" s="248"/>
      <c r="F2" s="562"/>
      <c r="G2" s="562"/>
      <c r="H2" s="562"/>
      <c r="I2" s="562"/>
      <c r="J2" s="562"/>
    </row>
    <row r="3" spans="1:10" ht="12" customHeight="1">
      <c r="A3" s="248"/>
      <c r="B3" s="248"/>
      <c r="C3" s="248"/>
      <c r="D3" s="248"/>
      <c r="E3" s="248"/>
      <c r="F3" s="562"/>
      <c r="G3" s="562"/>
      <c r="H3" s="562"/>
      <c r="I3" s="562"/>
      <c r="J3" s="562"/>
    </row>
    <row r="4" spans="1:10" ht="12" customHeight="1">
      <c r="A4" s="606"/>
      <c r="B4" s="606"/>
      <c r="C4" s="606"/>
      <c r="D4"/>
      <c r="E4"/>
      <c r="F4" s="562"/>
      <c r="G4" s="562"/>
      <c r="H4" s="562"/>
      <c r="I4" s="562"/>
      <c r="J4" s="562"/>
    </row>
    <row r="5" spans="1:10" ht="12" customHeight="1">
      <c r="A5" s="606"/>
      <c r="B5" s="606"/>
      <c r="C5" s="606"/>
      <c r="D5"/>
      <c r="E5"/>
      <c r="F5" s="581"/>
      <c r="G5" s="581"/>
      <c r="H5" s="581"/>
      <c r="I5" s="581"/>
      <c r="J5" s="581"/>
    </row>
    <row r="6" spans="1:10" ht="12" customHeight="1">
      <c r="A6" s="504" t="s">
        <v>184</v>
      </c>
      <c r="B6" s="504"/>
      <c r="C6" s="504"/>
      <c r="D6" s="504"/>
      <c r="E6" s="504"/>
      <c r="F6" s="504"/>
      <c r="G6" s="504"/>
      <c r="H6" s="504"/>
      <c r="I6" s="504"/>
      <c r="J6" s="504"/>
    </row>
    <row r="7" spans="1:10" ht="12" customHeight="1">
      <c r="A7" s="505"/>
      <c r="B7" s="505"/>
      <c r="C7" s="505"/>
      <c r="D7" s="505"/>
      <c r="E7" s="505"/>
      <c r="F7" s="505"/>
      <c r="G7" s="505"/>
      <c r="H7" s="505"/>
      <c r="I7" s="505"/>
      <c r="J7" s="505"/>
    </row>
    <row r="8" spans="1:9" ht="15" customHeight="1">
      <c r="A8" s="464"/>
      <c r="B8" s="464"/>
      <c r="C8" s="464"/>
      <c r="D8" s="464"/>
      <c r="E8" s="464"/>
      <c r="F8" s="464"/>
      <c r="G8" s="464"/>
      <c r="H8" s="464"/>
      <c r="I8" s="464"/>
    </row>
    <row r="9" spans="1:10" ht="15" customHeight="1">
      <c r="A9" s="465" t="s">
        <v>99</v>
      </c>
      <c r="B9" s="603" t="s">
        <v>466</v>
      </c>
      <c r="C9" s="604"/>
      <c r="D9" s="605"/>
      <c r="E9" s="466"/>
      <c r="F9" s="467"/>
      <c r="J9" s="1"/>
    </row>
    <row r="10" spans="1:10" ht="15" customHeight="1">
      <c r="A10" s="465"/>
      <c r="B10" s="468"/>
      <c r="C10" s="468"/>
      <c r="D10" s="468"/>
      <c r="E10" s="469"/>
      <c r="F10" s="469"/>
      <c r="G10" s="470"/>
      <c r="H10" s="470"/>
      <c r="I10" s="470"/>
      <c r="J10" s="470"/>
    </row>
    <row r="11" ht="15" customHeight="1">
      <c r="A11" s="221" t="s">
        <v>48</v>
      </c>
    </row>
    <row r="12" spans="1:10" ht="47.25" customHeight="1">
      <c r="A12" s="471" t="s">
        <v>185</v>
      </c>
      <c r="B12" s="471" t="s">
        <v>186</v>
      </c>
      <c r="C12" s="471" t="s">
        <v>187</v>
      </c>
      <c r="D12" s="471" t="s">
        <v>188</v>
      </c>
      <c r="E12" s="471" t="s">
        <v>189</v>
      </c>
      <c r="F12" s="471" t="s">
        <v>190</v>
      </c>
      <c r="G12" s="471" t="s">
        <v>221</v>
      </c>
      <c r="H12" s="471" t="s">
        <v>222</v>
      </c>
      <c r="I12" s="471" t="s">
        <v>43</v>
      </c>
      <c r="J12" s="472" t="s">
        <v>223</v>
      </c>
    </row>
    <row r="13" spans="1:10" ht="12.75" customHeight="1">
      <c r="A13" s="106"/>
      <c r="B13" s="106"/>
      <c r="C13" s="106"/>
      <c r="D13" s="106"/>
      <c r="E13" s="106"/>
      <c r="F13" s="106"/>
      <c r="G13" s="106"/>
      <c r="H13" s="106"/>
      <c r="I13" s="255"/>
      <c r="J13" s="273" t="s">
        <v>44</v>
      </c>
    </row>
    <row r="14" spans="1:12" ht="12.75" customHeight="1">
      <c r="A14" s="106"/>
      <c r="B14" s="106"/>
      <c r="C14" s="106"/>
      <c r="D14" s="106"/>
      <c r="E14" s="106"/>
      <c r="F14" s="106"/>
      <c r="G14" s="106"/>
      <c r="H14" s="106"/>
      <c r="I14" s="255"/>
      <c r="J14" s="273" t="s">
        <v>44</v>
      </c>
      <c r="L14" s="3" t="s">
        <v>44</v>
      </c>
    </row>
    <row r="15" spans="1:12" ht="12.75" customHeight="1">
      <c r="A15" s="106"/>
      <c r="B15" s="106"/>
      <c r="C15" s="106"/>
      <c r="D15" s="106"/>
      <c r="E15" s="106"/>
      <c r="F15" s="106"/>
      <c r="G15" s="106"/>
      <c r="H15" s="106"/>
      <c r="I15" s="255"/>
      <c r="J15" s="273" t="s">
        <v>44</v>
      </c>
      <c r="L15" s="1" t="s">
        <v>224</v>
      </c>
    </row>
    <row r="16" spans="1:10" ht="12.75" customHeight="1">
      <c r="A16" s="106"/>
      <c r="B16" s="106"/>
      <c r="C16" s="106"/>
      <c r="D16" s="106"/>
      <c r="E16" s="106"/>
      <c r="F16" s="106"/>
      <c r="G16" s="106"/>
      <c r="H16" s="106"/>
      <c r="I16" s="255"/>
      <c r="J16" s="273" t="s">
        <v>44</v>
      </c>
    </row>
    <row r="17" spans="1:10" ht="12.75" customHeight="1">
      <c r="A17" s="106"/>
      <c r="B17" s="106"/>
      <c r="C17" s="106"/>
      <c r="D17" s="106"/>
      <c r="E17" s="106"/>
      <c r="F17" s="106"/>
      <c r="G17" s="106"/>
      <c r="H17" s="106"/>
      <c r="I17" s="255"/>
      <c r="J17" s="273" t="s">
        <v>44</v>
      </c>
    </row>
    <row r="18" spans="1:10" ht="12.75" customHeight="1">
      <c r="A18" s="106"/>
      <c r="B18" s="106"/>
      <c r="C18" s="106"/>
      <c r="D18" s="106"/>
      <c r="E18" s="106"/>
      <c r="F18" s="106"/>
      <c r="G18" s="106"/>
      <c r="H18" s="106"/>
      <c r="I18" s="255"/>
      <c r="J18" s="273" t="s">
        <v>44</v>
      </c>
    </row>
    <row r="19" spans="1:10" ht="12.75" customHeight="1">
      <c r="A19" s="106"/>
      <c r="B19" s="106"/>
      <c r="C19" s="106"/>
      <c r="D19" s="106"/>
      <c r="E19" s="106"/>
      <c r="F19" s="106"/>
      <c r="G19" s="106"/>
      <c r="H19" s="106"/>
      <c r="I19" s="255"/>
      <c r="J19" s="273" t="s">
        <v>44</v>
      </c>
    </row>
    <row r="20" spans="1:10" ht="12.75" customHeight="1">
      <c r="A20" s="106"/>
      <c r="B20" s="106"/>
      <c r="C20" s="106"/>
      <c r="D20" s="106"/>
      <c r="E20" s="106"/>
      <c r="F20" s="106"/>
      <c r="G20" s="106"/>
      <c r="H20" s="106"/>
      <c r="I20" s="255"/>
      <c r="J20" s="273" t="s">
        <v>44</v>
      </c>
    </row>
    <row r="21" spans="1:10" ht="12.75" customHeight="1">
      <c r="A21" s="106"/>
      <c r="B21" s="106"/>
      <c r="C21" s="106"/>
      <c r="D21" s="106"/>
      <c r="E21" s="106"/>
      <c r="F21" s="106"/>
      <c r="G21" s="106"/>
      <c r="H21" s="106"/>
      <c r="I21" s="255"/>
      <c r="J21" s="273" t="s">
        <v>44</v>
      </c>
    </row>
    <row r="22" spans="1:10" ht="12.75" customHeight="1">
      <c r="A22" s="106"/>
      <c r="B22" s="106"/>
      <c r="C22" s="106"/>
      <c r="D22" s="106"/>
      <c r="E22" s="106"/>
      <c r="F22" s="106"/>
      <c r="G22" s="106"/>
      <c r="H22" s="106"/>
      <c r="I22" s="255"/>
      <c r="J22" s="273" t="s">
        <v>44</v>
      </c>
    </row>
    <row r="23" spans="1:10" ht="12.75" customHeight="1">
      <c r="A23" s="106"/>
      <c r="B23" s="106"/>
      <c r="C23" s="106"/>
      <c r="D23" s="106"/>
      <c r="E23" s="106"/>
      <c r="F23" s="106"/>
      <c r="G23" s="106"/>
      <c r="H23" s="106"/>
      <c r="I23" s="255"/>
      <c r="J23" s="273" t="s">
        <v>44</v>
      </c>
    </row>
    <row r="24" spans="1:10" ht="12.75" customHeight="1">
      <c r="A24" s="106"/>
      <c r="B24" s="106"/>
      <c r="C24" s="106"/>
      <c r="D24" s="106"/>
      <c r="E24" s="106"/>
      <c r="F24" s="106"/>
      <c r="G24" s="106"/>
      <c r="H24" s="106"/>
      <c r="I24" s="255"/>
      <c r="J24" s="273" t="s">
        <v>44</v>
      </c>
    </row>
    <row r="25" spans="1:10" ht="12.75" customHeight="1">
      <c r="A25" s="106"/>
      <c r="B25" s="106"/>
      <c r="C25" s="106"/>
      <c r="D25" s="106"/>
      <c r="E25" s="106"/>
      <c r="F25" s="106"/>
      <c r="G25" s="106"/>
      <c r="H25" s="106"/>
      <c r="I25" s="255"/>
      <c r="J25" s="273" t="s">
        <v>44</v>
      </c>
    </row>
    <row r="26" spans="1:10" ht="12.75" customHeight="1">
      <c r="A26" s="106"/>
      <c r="B26" s="106"/>
      <c r="C26" s="106"/>
      <c r="D26" s="106"/>
      <c r="E26" s="106"/>
      <c r="F26" s="106"/>
      <c r="G26" s="106"/>
      <c r="H26" s="106"/>
      <c r="I26" s="255"/>
      <c r="J26" s="273" t="s">
        <v>44</v>
      </c>
    </row>
    <row r="27" spans="1:10" ht="12.75" customHeight="1">
      <c r="A27" s="106"/>
      <c r="B27" s="106"/>
      <c r="C27" s="106"/>
      <c r="D27" s="106"/>
      <c r="E27" s="106"/>
      <c r="F27" s="106"/>
      <c r="G27" s="106"/>
      <c r="H27" s="106"/>
      <c r="I27" s="255"/>
      <c r="J27" s="273" t="s">
        <v>44</v>
      </c>
    </row>
    <row r="28" spans="1:10" ht="12.75" customHeight="1">
      <c r="A28" s="106"/>
      <c r="B28" s="106"/>
      <c r="C28" s="106"/>
      <c r="D28" s="106"/>
      <c r="E28" s="106"/>
      <c r="F28" s="106"/>
      <c r="G28" s="106"/>
      <c r="H28" s="106"/>
      <c r="I28" s="255"/>
      <c r="J28" s="273" t="s">
        <v>44</v>
      </c>
    </row>
    <row r="29" spans="1:10" ht="12.75" customHeight="1">
      <c r="A29" s="106"/>
      <c r="B29" s="106"/>
      <c r="C29" s="106"/>
      <c r="D29" s="106"/>
      <c r="E29" s="106"/>
      <c r="F29" s="106"/>
      <c r="G29" s="106"/>
      <c r="H29" s="106"/>
      <c r="I29" s="255"/>
      <c r="J29" s="273" t="s">
        <v>44</v>
      </c>
    </row>
    <row r="30" spans="1:10" ht="12.75" customHeight="1">
      <c r="A30" s="106"/>
      <c r="B30" s="106"/>
      <c r="C30" s="106"/>
      <c r="D30" s="106"/>
      <c r="E30" s="106"/>
      <c r="F30" s="106"/>
      <c r="G30" s="106"/>
      <c r="H30" s="106"/>
      <c r="I30" s="255"/>
      <c r="J30" s="273" t="s">
        <v>44</v>
      </c>
    </row>
    <row r="31" spans="1:10" ht="12.75" customHeight="1">
      <c r="A31" s="106"/>
      <c r="B31" s="106"/>
      <c r="C31" s="106"/>
      <c r="D31" s="106"/>
      <c r="E31" s="106"/>
      <c r="F31" s="106"/>
      <c r="G31" s="106"/>
      <c r="H31" s="106"/>
      <c r="I31" s="255"/>
      <c r="J31" s="273" t="s">
        <v>44</v>
      </c>
    </row>
    <row r="32" spans="1:10" ht="12.75" customHeight="1">
      <c r="A32" s="106"/>
      <c r="B32" s="106"/>
      <c r="C32" s="106"/>
      <c r="D32" s="106"/>
      <c r="E32" s="106"/>
      <c r="F32" s="106"/>
      <c r="G32" s="106"/>
      <c r="H32" s="106"/>
      <c r="I32" s="255"/>
      <c r="J32" s="273" t="s">
        <v>44</v>
      </c>
    </row>
    <row r="33" spans="1:10" ht="12.75" customHeight="1">
      <c r="A33" s="106"/>
      <c r="B33" s="106"/>
      <c r="C33" s="106"/>
      <c r="D33" s="106"/>
      <c r="E33" s="106"/>
      <c r="F33" s="106"/>
      <c r="G33" s="106"/>
      <c r="H33" s="106"/>
      <c r="I33" s="255"/>
      <c r="J33" s="273" t="s">
        <v>44</v>
      </c>
    </row>
    <row r="34" spans="1:10" ht="12.75" customHeight="1">
      <c r="A34" s="106"/>
      <c r="B34" s="106"/>
      <c r="C34" s="106"/>
      <c r="D34" s="106"/>
      <c r="E34" s="106"/>
      <c r="F34" s="106"/>
      <c r="G34" s="106"/>
      <c r="H34" s="106"/>
      <c r="I34" s="255"/>
      <c r="J34" s="273" t="s">
        <v>44</v>
      </c>
    </row>
    <row r="35" spans="1:10" ht="12.75" customHeight="1">
      <c r="A35" s="106"/>
      <c r="B35" s="106"/>
      <c r="C35" s="106"/>
      <c r="D35" s="106"/>
      <c r="E35" s="106"/>
      <c r="F35" s="106"/>
      <c r="G35" s="106"/>
      <c r="H35" s="106"/>
      <c r="I35" s="255"/>
      <c r="J35" s="273" t="s">
        <v>44</v>
      </c>
    </row>
    <row r="36" spans="1:10" ht="12.75" customHeight="1">
      <c r="A36" s="106"/>
      <c r="B36" s="106"/>
      <c r="C36" s="106"/>
      <c r="D36" s="106"/>
      <c r="E36" s="106"/>
      <c r="F36" s="106"/>
      <c r="G36" s="106"/>
      <c r="H36" s="106"/>
      <c r="I36" s="255"/>
      <c r="J36" s="273" t="s">
        <v>44</v>
      </c>
    </row>
    <row r="37" spans="1:10" ht="12.75" customHeight="1">
      <c r="A37" s="106"/>
      <c r="B37" s="106"/>
      <c r="C37" s="106"/>
      <c r="D37" s="106"/>
      <c r="E37" s="106"/>
      <c r="F37" s="106"/>
      <c r="G37" s="106"/>
      <c r="H37" s="106"/>
      <c r="I37" s="255"/>
      <c r="J37" s="273" t="s">
        <v>44</v>
      </c>
    </row>
    <row r="38" spans="1:10" ht="12.75" customHeight="1">
      <c r="A38" s="106"/>
      <c r="B38" s="106"/>
      <c r="C38" s="106"/>
      <c r="D38" s="106"/>
      <c r="E38" s="106"/>
      <c r="F38" s="106"/>
      <c r="G38" s="106"/>
      <c r="H38" s="106"/>
      <c r="I38" s="255"/>
      <c r="J38" s="273" t="s">
        <v>44</v>
      </c>
    </row>
    <row r="39" spans="1:10" ht="12.75" customHeight="1">
      <c r="A39" s="106"/>
      <c r="B39" s="106"/>
      <c r="C39" s="106"/>
      <c r="D39" s="106"/>
      <c r="E39" s="106"/>
      <c r="F39" s="106"/>
      <c r="G39" s="106"/>
      <c r="H39" s="106"/>
      <c r="I39" s="255"/>
      <c r="J39" s="273" t="s">
        <v>44</v>
      </c>
    </row>
    <row r="40" spans="1:10" ht="12.75" customHeight="1">
      <c r="A40" s="106"/>
      <c r="B40" s="106"/>
      <c r="C40" s="106"/>
      <c r="D40" s="106"/>
      <c r="E40" s="106"/>
      <c r="F40" s="106"/>
      <c r="G40" s="106"/>
      <c r="H40" s="106"/>
      <c r="I40" s="255"/>
      <c r="J40" s="273" t="s">
        <v>44</v>
      </c>
    </row>
    <row r="41" spans="1:10" ht="12.75" customHeight="1">
      <c r="A41" s="106"/>
      <c r="B41" s="106"/>
      <c r="C41" s="106"/>
      <c r="D41" s="106"/>
      <c r="E41" s="106"/>
      <c r="F41" s="106"/>
      <c r="G41" s="106"/>
      <c r="H41" s="106"/>
      <c r="I41" s="255"/>
      <c r="J41" s="273" t="s">
        <v>44</v>
      </c>
    </row>
    <row r="42" spans="1:10" ht="12.75" customHeight="1">
      <c r="A42" s="106"/>
      <c r="B42" s="106"/>
      <c r="C42" s="106"/>
      <c r="D42" s="106"/>
      <c r="E42" s="106"/>
      <c r="F42" s="106"/>
      <c r="G42" s="106"/>
      <c r="H42" s="106"/>
      <c r="I42" s="255"/>
      <c r="J42" s="273" t="s">
        <v>44</v>
      </c>
    </row>
    <row r="43" spans="1:10" ht="12.75" customHeight="1">
      <c r="A43" s="106"/>
      <c r="B43" s="106"/>
      <c r="C43" s="106"/>
      <c r="D43" s="106"/>
      <c r="E43" s="106"/>
      <c r="F43" s="106"/>
      <c r="G43" s="106"/>
      <c r="H43" s="106"/>
      <c r="I43" s="255"/>
      <c r="J43" s="273" t="s">
        <v>44</v>
      </c>
    </row>
    <row r="44" spans="1:10" ht="12.75" customHeight="1">
      <c r="A44" s="106"/>
      <c r="B44" s="106"/>
      <c r="C44" s="106"/>
      <c r="D44" s="106"/>
      <c r="E44" s="106"/>
      <c r="F44" s="106"/>
      <c r="G44" s="106"/>
      <c r="H44" s="106"/>
      <c r="I44" s="255"/>
      <c r="J44" s="273" t="s">
        <v>44</v>
      </c>
    </row>
    <row r="45" spans="1:10" ht="12.75" customHeight="1">
      <c r="A45" s="106"/>
      <c r="B45" s="106"/>
      <c r="C45" s="106"/>
      <c r="D45" s="106"/>
      <c r="E45" s="106"/>
      <c r="F45" s="106"/>
      <c r="G45" s="106"/>
      <c r="H45" s="106"/>
      <c r="I45" s="255"/>
      <c r="J45" s="273" t="s">
        <v>44</v>
      </c>
    </row>
    <row r="46" spans="1:10" ht="12.75" customHeight="1">
      <c r="A46" s="106"/>
      <c r="B46" s="106"/>
      <c r="C46" s="106"/>
      <c r="D46" s="106"/>
      <c r="E46" s="106"/>
      <c r="F46" s="106"/>
      <c r="G46" s="106"/>
      <c r="H46" s="106"/>
      <c r="I46" s="255"/>
      <c r="J46" s="273" t="s">
        <v>44</v>
      </c>
    </row>
    <row r="47" spans="1:12" ht="12.75" customHeight="1">
      <c r="A47" s="106"/>
      <c r="B47" s="106"/>
      <c r="C47" s="106"/>
      <c r="D47" s="106"/>
      <c r="E47" s="106"/>
      <c r="F47" s="106"/>
      <c r="G47" s="106"/>
      <c r="H47" s="106"/>
      <c r="I47" s="255"/>
      <c r="J47" s="273" t="s">
        <v>44</v>
      </c>
      <c r="L47" s="3" t="s">
        <v>44</v>
      </c>
    </row>
    <row r="48" spans="1:12" ht="12.75" customHeight="1">
      <c r="A48" s="106"/>
      <c r="B48" s="106"/>
      <c r="C48" s="106"/>
      <c r="D48" s="106"/>
      <c r="E48" s="106"/>
      <c r="F48" s="106"/>
      <c r="G48" s="106"/>
      <c r="H48" s="106"/>
      <c r="I48" s="255"/>
      <c r="J48" s="273" t="s">
        <v>44</v>
      </c>
      <c r="L48" s="1" t="s">
        <v>224</v>
      </c>
    </row>
    <row r="49" spans="1:12" ht="12.75" customHeight="1">
      <c r="A49" s="106"/>
      <c r="B49" s="106"/>
      <c r="C49" s="106"/>
      <c r="D49" s="106"/>
      <c r="E49" s="106"/>
      <c r="F49" s="106"/>
      <c r="G49" s="106"/>
      <c r="H49" s="106"/>
      <c r="I49" s="255"/>
      <c r="J49" s="273" t="s">
        <v>44</v>
      </c>
      <c r="L49" s="1" t="s">
        <v>225</v>
      </c>
    </row>
    <row r="50" spans="1:10" ht="12.75" customHeight="1">
      <c r="A50" s="106"/>
      <c r="B50" s="106"/>
      <c r="C50" s="106"/>
      <c r="D50" s="106"/>
      <c r="E50" s="106"/>
      <c r="F50" s="106"/>
      <c r="G50" s="106"/>
      <c r="H50" s="106"/>
      <c r="I50" s="255"/>
      <c r="J50" s="273" t="s">
        <v>44</v>
      </c>
    </row>
    <row r="51" spans="1:10" ht="12.75" customHeight="1">
      <c r="A51" s="106"/>
      <c r="B51" s="106"/>
      <c r="C51" s="106"/>
      <c r="D51" s="106"/>
      <c r="E51" s="106"/>
      <c r="F51" s="106"/>
      <c r="G51" s="106"/>
      <c r="H51" s="106"/>
      <c r="I51" s="255"/>
      <c r="J51" s="273" t="s">
        <v>44</v>
      </c>
    </row>
    <row r="52" spans="1:10" ht="12.75" customHeight="1">
      <c r="A52" s="106"/>
      <c r="B52" s="106"/>
      <c r="C52" s="106"/>
      <c r="D52" s="106"/>
      <c r="E52" s="106"/>
      <c r="F52" s="106"/>
      <c r="G52" s="106"/>
      <c r="H52" s="106"/>
      <c r="I52" s="255"/>
      <c r="J52" s="273" t="s">
        <v>44</v>
      </c>
    </row>
    <row r="53" spans="1:10" ht="12.75" customHeight="1">
      <c r="A53" s="106"/>
      <c r="B53" s="106"/>
      <c r="C53" s="106"/>
      <c r="D53" s="106"/>
      <c r="E53" s="106"/>
      <c r="F53" s="106"/>
      <c r="G53" s="106"/>
      <c r="H53" s="106"/>
      <c r="I53" s="255"/>
      <c r="J53" s="273" t="s">
        <v>44</v>
      </c>
    </row>
    <row r="54" spans="1:10" ht="12.75" customHeight="1">
      <c r="A54" s="106"/>
      <c r="B54" s="106"/>
      <c r="C54" s="106"/>
      <c r="D54" s="106"/>
      <c r="E54" s="106"/>
      <c r="F54" s="106"/>
      <c r="G54" s="106"/>
      <c r="H54" s="106"/>
      <c r="I54" s="255"/>
      <c r="J54" s="273" t="s">
        <v>44</v>
      </c>
    </row>
    <row r="55" spans="1:10" ht="12.75" customHeight="1">
      <c r="A55" s="106"/>
      <c r="B55" s="106"/>
      <c r="C55" s="106"/>
      <c r="D55" s="106"/>
      <c r="E55" s="106"/>
      <c r="F55" s="106"/>
      <c r="G55" s="106"/>
      <c r="H55" s="106"/>
      <c r="I55" s="255"/>
      <c r="J55" s="273" t="s">
        <v>44</v>
      </c>
    </row>
    <row r="56" spans="1:10" ht="12.75" customHeight="1">
      <c r="A56" s="106"/>
      <c r="B56" s="106"/>
      <c r="C56" s="106"/>
      <c r="D56" s="106"/>
      <c r="E56" s="106"/>
      <c r="F56" s="106"/>
      <c r="G56" s="106"/>
      <c r="H56" s="106"/>
      <c r="I56" s="255"/>
      <c r="J56" s="273" t="s">
        <v>44</v>
      </c>
    </row>
    <row r="57" spans="1:10" ht="12.75" customHeight="1">
      <c r="A57" s="106"/>
      <c r="B57" s="106"/>
      <c r="C57" s="106"/>
      <c r="D57" s="106"/>
      <c r="E57" s="106"/>
      <c r="F57" s="106"/>
      <c r="G57" s="106"/>
      <c r="H57" s="106"/>
      <c r="I57" s="255"/>
      <c r="J57" s="273" t="s">
        <v>44</v>
      </c>
    </row>
    <row r="58" spans="1:10" ht="12.75" customHeight="1">
      <c r="A58" s="106"/>
      <c r="B58" s="106"/>
      <c r="C58" s="106"/>
      <c r="D58" s="106"/>
      <c r="E58" s="106"/>
      <c r="F58" s="106"/>
      <c r="G58" s="106"/>
      <c r="H58" s="106"/>
      <c r="I58" s="255"/>
      <c r="J58" s="273" t="s">
        <v>44</v>
      </c>
    </row>
    <row r="59" spans="1:10" ht="12.75" customHeight="1">
      <c r="A59" s="106"/>
      <c r="B59" s="106"/>
      <c r="C59" s="106"/>
      <c r="D59" s="106"/>
      <c r="E59" s="106"/>
      <c r="F59" s="106"/>
      <c r="G59" s="106"/>
      <c r="H59" s="106"/>
      <c r="I59" s="255"/>
      <c r="J59" s="273" t="s">
        <v>44</v>
      </c>
    </row>
    <row r="60" spans="1:10" ht="12.75" customHeight="1">
      <c r="A60" s="106"/>
      <c r="B60" s="106"/>
      <c r="C60" s="106"/>
      <c r="D60" s="106"/>
      <c r="E60" s="106"/>
      <c r="F60" s="106"/>
      <c r="G60" s="106"/>
      <c r="H60" s="106"/>
      <c r="I60" s="255"/>
      <c r="J60" s="273" t="s">
        <v>44</v>
      </c>
    </row>
    <row r="61" spans="1:10" ht="12.75" customHeight="1">
      <c r="A61" s="106"/>
      <c r="B61" s="106"/>
      <c r="C61" s="106"/>
      <c r="D61" s="106"/>
      <c r="E61" s="106"/>
      <c r="F61" s="106"/>
      <c r="G61" s="106"/>
      <c r="H61" s="106"/>
      <c r="I61" s="255"/>
      <c r="J61" s="273" t="s">
        <v>44</v>
      </c>
    </row>
    <row r="62" spans="1:10" ht="12.75" customHeight="1">
      <c r="A62" s="106"/>
      <c r="B62" s="106"/>
      <c r="C62" s="106"/>
      <c r="D62" s="106"/>
      <c r="E62" s="106"/>
      <c r="F62" s="106"/>
      <c r="G62" s="106"/>
      <c r="H62" s="106"/>
      <c r="I62" s="255"/>
      <c r="J62" s="273" t="s">
        <v>44</v>
      </c>
    </row>
    <row r="63" spans="1:10" ht="12.75" customHeight="1">
      <c r="A63" s="106"/>
      <c r="B63" s="106"/>
      <c r="C63" s="106"/>
      <c r="D63" s="106"/>
      <c r="E63" s="106"/>
      <c r="F63" s="106"/>
      <c r="G63" s="106"/>
      <c r="H63" s="106"/>
      <c r="I63" s="255"/>
      <c r="J63" s="273" t="s">
        <v>44</v>
      </c>
    </row>
    <row r="64" spans="1:10" ht="12.75" customHeight="1">
      <c r="A64" s="106"/>
      <c r="B64" s="106"/>
      <c r="C64" s="106"/>
      <c r="D64" s="106"/>
      <c r="E64" s="106"/>
      <c r="F64" s="106"/>
      <c r="G64" s="106"/>
      <c r="H64" s="106"/>
      <c r="I64" s="255"/>
      <c r="J64" s="273" t="s">
        <v>44</v>
      </c>
    </row>
    <row r="65" spans="1:10" ht="12.75" customHeight="1">
      <c r="A65" s="106"/>
      <c r="B65" s="106"/>
      <c r="C65" s="106"/>
      <c r="D65" s="106"/>
      <c r="E65" s="106"/>
      <c r="F65" s="106"/>
      <c r="G65" s="106"/>
      <c r="H65" s="106"/>
      <c r="I65" s="255"/>
      <c r="J65" s="273" t="s">
        <v>44</v>
      </c>
    </row>
    <row r="66" spans="1:10" ht="12.75" customHeight="1">
      <c r="A66" s="106"/>
      <c r="B66" s="106"/>
      <c r="C66" s="106"/>
      <c r="D66" s="106"/>
      <c r="E66" s="106"/>
      <c r="F66" s="106"/>
      <c r="G66" s="106"/>
      <c r="H66" s="106"/>
      <c r="I66" s="255"/>
      <c r="J66" s="273" t="s">
        <v>44</v>
      </c>
    </row>
    <row r="67" spans="1:10" ht="12.75" customHeight="1">
      <c r="A67" s="106"/>
      <c r="B67" s="106"/>
      <c r="C67" s="106"/>
      <c r="D67" s="106"/>
      <c r="E67" s="106"/>
      <c r="F67" s="106"/>
      <c r="G67" s="106"/>
      <c r="H67" s="106"/>
      <c r="I67" s="255"/>
      <c r="J67" s="273" t="s">
        <v>44</v>
      </c>
    </row>
    <row r="68" spans="1:10" ht="12.75" customHeight="1">
      <c r="A68" s="106"/>
      <c r="B68" s="106"/>
      <c r="C68" s="106"/>
      <c r="D68" s="106"/>
      <c r="E68" s="106"/>
      <c r="F68" s="106"/>
      <c r="G68" s="106"/>
      <c r="H68" s="106"/>
      <c r="I68" s="255"/>
      <c r="J68" s="273" t="s">
        <v>44</v>
      </c>
    </row>
    <row r="69" spans="1:10" ht="12.75" customHeight="1">
      <c r="A69" s="106"/>
      <c r="B69" s="106"/>
      <c r="C69" s="106"/>
      <c r="D69" s="106"/>
      <c r="E69" s="106"/>
      <c r="F69" s="106"/>
      <c r="G69" s="106"/>
      <c r="H69" s="106"/>
      <c r="I69" s="255"/>
      <c r="J69" s="273" t="s">
        <v>44</v>
      </c>
    </row>
    <row r="70" spans="1:10" ht="12.75" customHeight="1">
      <c r="A70" s="106"/>
      <c r="B70" s="106"/>
      <c r="C70" s="106"/>
      <c r="D70" s="106"/>
      <c r="E70" s="106"/>
      <c r="F70" s="106"/>
      <c r="G70" s="106"/>
      <c r="H70" s="106"/>
      <c r="I70" s="255"/>
      <c r="J70" s="273" t="s">
        <v>44</v>
      </c>
    </row>
    <row r="71" spans="1:10" ht="12.75" customHeight="1">
      <c r="A71" s="106"/>
      <c r="B71" s="106"/>
      <c r="C71" s="106"/>
      <c r="D71" s="106"/>
      <c r="E71" s="106"/>
      <c r="F71" s="106"/>
      <c r="G71" s="106"/>
      <c r="H71" s="106"/>
      <c r="I71" s="255"/>
      <c r="J71" s="273" t="s">
        <v>44</v>
      </c>
    </row>
    <row r="72" spans="1:10" ht="12.75" customHeight="1">
      <c r="A72" s="106"/>
      <c r="B72" s="106"/>
      <c r="C72" s="106"/>
      <c r="D72" s="106"/>
      <c r="E72" s="106"/>
      <c r="F72" s="106"/>
      <c r="G72" s="106"/>
      <c r="H72" s="106"/>
      <c r="I72" s="255"/>
      <c r="J72" s="273" t="s">
        <v>44</v>
      </c>
    </row>
    <row r="73" spans="1:10" ht="12.75" customHeight="1">
      <c r="A73" s="106"/>
      <c r="B73" s="106"/>
      <c r="C73" s="106"/>
      <c r="D73" s="106"/>
      <c r="E73" s="106"/>
      <c r="F73" s="106"/>
      <c r="G73" s="106"/>
      <c r="H73" s="106"/>
      <c r="I73" s="255"/>
      <c r="J73" s="273" t="s">
        <v>44</v>
      </c>
    </row>
    <row r="74" spans="1:10" ht="12.75" customHeight="1">
      <c r="A74" s="106"/>
      <c r="B74" s="106"/>
      <c r="C74" s="106"/>
      <c r="D74" s="106"/>
      <c r="E74" s="106"/>
      <c r="F74" s="106"/>
      <c r="G74" s="106"/>
      <c r="H74" s="106"/>
      <c r="I74" s="255"/>
      <c r="J74" s="273" t="s">
        <v>44</v>
      </c>
    </row>
    <row r="75" spans="1:10" ht="12.75" customHeight="1">
      <c r="A75" s="106"/>
      <c r="B75" s="106"/>
      <c r="C75" s="106"/>
      <c r="D75" s="106"/>
      <c r="E75" s="106"/>
      <c r="F75" s="106"/>
      <c r="G75" s="106"/>
      <c r="H75" s="106"/>
      <c r="I75" s="255"/>
      <c r="J75" s="273" t="s">
        <v>44</v>
      </c>
    </row>
    <row r="76" spans="1:10" ht="12.75" customHeight="1">
      <c r="A76" s="106"/>
      <c r="B76" s="106"/>
      <c r="C76" s="106"/>
      <c r="D76" s="106"/>
      <c r="E76" s="106"/>
      <c r="F76" s="106"/>
      <c r="G76" s="106"/>
      <c r="H76" s="106"/>
      <c r="I76" s="255"/>
      <c r="J76" s="273" t="s">
        <v>44</v>
      </c>
    </row>
    <row r="77" spans="1:10" ht="12.75" customHeight="1">
      <c r="A77" s="106"/>
      <c r="B77" s="106"/>
      <c r="C77" s="106"/>
      <c r="D77" s="106"/>
      <c r="E77" s="106"/>
      <c r="F77" s="106"/>
      <c r="G77" s="106"/>
      <c r="H77" s="106"/>
      <c r="I77" s="255"/>
      <c r="J77" s="273" t="s">
        <v>44</v>
      </c>
    </row>
    <row r="78" spans="1:10" ht="12.75" customHeight="1">
      <c r="A78" s="106"/>
      <c r="B78" s="106"/>
      <c r="C78" s="106"/>
      <c r="D78" s="106"/>
      <c r="E78" s="106"/>
      <c r="F78" s="106"/>
      <c r="G78" s="106"/>
      <c r="H78" s="106"/>
      <c r="I78" s="255"/>
      <c r="J78" s="273" t="s">
        <v>44</v>
      </c>
    </row>
    <row r="79" spans="1:10" ht="12.75" customHeight="1">
      <c r="A79" s="106"/>
      <c r="B79" s="106"/>
      <c r="C79" s="106"/>
      <c r="D79" s="106"/>
      <c r="E79" s="106"/>
      <c r="F79" s="106"/>
      <c r="G79" s="106"/>
      <c r="H79" s="106"/>
      <c r="I79" s="255"/>
      <c r="J79" s="273" t="s">
        <v>44</v>
      </c>
    </row>
    <row r="80" spans="1:10" ht="12.75" customHeight="1">
      <c r="A80" s="106"/>
      <c r="B80" s="106"/>
      <c r="C80" s="106"/>
      <c r="D80" s="106"/>
      <c r="E80" s="106"/>
      <c r="F80" s="106"/>
      <c r="G80" s="106"/>
      <c r="H80" s="106"/>
      <c r="I80" s="255"/>
      <c r="J80" s="273" t="s">
        <v>44</v>
      </c>
    </row>
    <row r="81" spans="1:10" ht="12.75" customHeight="1">
      <c r="A81" s="106"/>
      <c r="B81" s="106"/>
      <c r="C81" s="106"/>
      <c r="D81" s="106"/>
      <c r="E81" s="106"/>
      <c r="F81" s="106"/>
      <c r="G81" s="106"/>
      <c r="H81" s="106"/>
      <c r="I81" s="255"/>
      <c r="J81" s="273" t="s">
        <v>44</v>
      </c>
    </row>
    <row r="82" spans="1:10" ht="12.75" customHeight="1">
      <c r="A82" s="106"/>
      <c r="B82" s="106"/>
      <c r="C82" s="106"/>
      <c r="D82" s="106"/>
      <c r="E82" s="106"/>
      <c r="F82" s="106"/>
      <c r="G82" s="106"/>
      <c r="H82" s="106"/>
      <c r="I82" s="255"/>
      <c r="J82" s="273" t="s">
        <v>44</v>
      </c>
    </row>
    <row r="83" spans="1:10" ht="12.75" customHeight="1">
      <c r="A83" s="106"/>
      <c r="B83" s="106"/>
      <c r="C83" s="106"/>
      <c r="D83" s="106"/>
      <c r="E83" s="106"/>
      <c r="F83" s="106"/>
      <c r="G83" s="106"/>
      <c r="H83" s="106"/>
      <c r="I83" s="255"/>
      <c r="J83" s="273" t="s">
        <v>44</v>
      </c>
    </row>
    <row r="84" spans="1:10" ht="12.75" customHeight="1">
      <c r="A84" s="106"/>
      <c r="B84" s="106"/>
      <c r="C84" s="106"/>
      <c r="D84" s="106"/>
      <c r="E84" s="106"/>
      <c r="F84" s="106"/>
      <c r="G84" s="106"/>
      <c r="H84" s="106"/>
      <c r="I84" s="255"/>
      <c r="J84" s="273" t="s">
        <v>44</v>
      </c>
    </row>
    <row r="85" spans="1:10" ht="12.75" customHeight="1">
      <c r="A85" s="106"/>
      <c r="B85" s="106"/>
      <c r="C85" s="106"/>
      <c r="D85" s="106"/>
      <c r="E85" s="106"/>
      <c r="F85" s="106"/>
      <c r="G85" s="106"/>
      <c r="H85" s="106"/>
      <c r="I85" s="255"/>
      <c r="J85" s="273" t="s">
        <v>44</v>
      </c>
    </row>
    <row r="86" spans="1:10" ht="12.75" customHeight="1">
      <c r="A86" s="106"/>
      <c r="B86" s="106"/>
      <c r="C86" s="106"/>
      <c r="D86" s="106"/>
      <c r="E86" s="106"/>
      <c r="F86" s="106"/>
      <c r="G86" s="106"/>
      <c r="H86" s="106"/>
      <c r="I86" s="255"/>
      <c r="J86" s="273" t="s">
        <v>44</v>
      </c>
    </row>
    <row r="87" spans="1:10" ht="12.75" customHeight="1">
      <c r="A87" s="106"/>
      <c r="B87" s="106"/>
      <c r="C87" s="106"/>
      <c r="D87" s="106"/>
      <c r="E87" s="106"/>
      <c r="F87" s="106"/>
      <c r="G87" s="106"/>
      <c r="H87" s="106"/>
      <c r="I87" s="255"/>
      <c r="J87" s="273" t="s">
        <v>44</v>
      </c>
    </row>
    <row r="88" spans="1:10" ht="12.75" customHeight="1">
      <c r="A88" s="106"/>
      <c r="B88" s="106"/>
      <c r="C88" s="106"/>
      <c r="D88" s="106"/>
      <c r="E88" s="106"/>
      <c r="F88" s="106"/>
      <c r="G88" s="106"/>
      <c r="H88" s="106"/>
      <c r="I88" s="255"/>
      <c r="J88" s="273" t="s">
        <v>44</v>
      </c>
    </row>
    <row r="89" spans="1:10" ht="12.75" customHeight="1">
      <c r="A89" s="106"/>
      <c r="B89" s="106"/>
      <c r="C89" s="106"/>
      <c r="D89" s="106"/>
      <c r="E89" s="106"/>
      <c r="F89" s="106"/>
      <c r="G89" s="106"/>
      <c r="H89" s="106"/>
      <c r="I89" s="255"/>
      <c r="J89" s="273" t="s">
        <v>44</v>
      </c>
    </row>
    <row r="90" spans="1:10" ht="12.75" customHeight="1">
      <c r="A90" s="106"/>
      <c r="B90" s="106"/>
      <c r="C90" s="106"/>
      <c r="D90" s="106"/>
      <c r="E90" s="106"/>
      <c r="F90" s="106"/>
      <c r="G90" s="106"/>
      <c r="H90" s="106"/>
      <c r="I90" s="255"/>
      <c r="J90" s="273" t="s">
        <v>44</v>
      </c>
    </row>
    <row r="91" spans="1:10" ht="12.75" customHeight="1">
      <c r="A91" s="106"/>
      <c r="B91" s="106"/>
      <c r="C91" s="106"/>
      <c r="D91" s="106"/>
      <c r="E91" s="106"/>
      <c r="F91" s="106"/>
      <c r="G91" s="106"/>
      <c r="H91" s="106"/>
      <c r="I91" s="255"/>
      <c r="J91" s="273" t="s">
        <v>44</v>
      </c>
    </row>
    <row r="92" spans="1:10" ht="12.75" customHeight="1">
      <c r="A92" s="106"/>
      <c r="B92" s="106"/>
      <c r="C92" s="106"/>
      <c r="D92" s="106"/>
      <c r="E92" s="106"/>
      <c r="F92" s="106"/>
      <c r="G92" s="106"/>
      <c r="H92" s="106"/>
      <c r="I92" s="255"/>
      <c r="J92" s="273" t="s">
        <v>44</v>
      </c>
    </row>
    <row r="93" spans="1:10" ht="12.75" customHeight="1">
      <c r="A93" s="106"/>
      <c r="B93" s="106"/>
      <c r="C93" s="106"/>
      <c r="D93" s="106"/>
      <c r="E93" s="106"/>
      <c r="F93" s="106"/>
      <c r="G93" s="106"/>
      <c r="H93" s="106"/>
      <c r="I93" s="255"/>
      <c r="J93" s="273" t="s">
        <v>44</v>
      </c>
    </row>
    <row r="94" spans="1:10" ht="12.75" customHeight="1">
      <c r="A94" s="106"/>
      <c r="B94" s="106"/>
      <c r="C94" s="106"/>
      <c r="D94" s="106"/>
      <c r="E94" s="106"/>
      <c r="F94" s="106"/>
      <c r="G94" s="106"/>
      <c r="H94" s="106"/>
      <c r="I94" s="255"/>
      <c r="J94" s="273" t="s">
        <v>44</v>
      </c>
    </row>
    <row r="95" spans="1:10" ht="12.75" customHeight="1">
      <c r="A95" s="106"/>
      <c r="B95" s="106"/>
      <c r="C95" s="106"/>
      <c r="D95" s="106"/>
      <c r="E95" s="106"/>
      <c r="F95" s="106"/>
      <c r="G95" s="106"/>
      <c r="H95" s="106"/>
      <c r="I95" s="255"/>
      <c r="J95" s="273" t="s">
        <v>44</v>
      </c>
    </row>
    <row r="96" spans="1:10" ht="12.75" customHeight="1">
      <c r="A96" s="106"/>
      <c r="B96" s="106"/>
      <c r="C96" s="106"/>
      <c r="D96" s="106"/>
      <c r="E96" s="106"/>
      <c r="F96" s="106"/>
      <c r="G96" s="106"/>
      <c r="H96" s="106"/>
      <c r="I96" s="255"/>
      <c r="J96" s="273" t="s">
        <v>44</v>
      </c>
    </row>
    <row r="97" spans="1:10" ht="12.75" customHeight="1">
      <c r="A97" s="106"/>
      <c r="B97" s="106"/>
      <c r="C97" s="106"/>
      <c r="D97" s="106"/>
      <c r="E97" s="106"/>
      <c r="F97" s="106"/>
      <c r="G97" s="106"/>
      <c r="H97" s="106"/>
      <c r="I97" s="255"/>
      <c r="J97" s="273" t="s">
        <v>44</v>
      </c>
    </row>
    <row r="98" spans="1:10" ht="12.75" customHeight="1">
      <c r="A98" s="106"/>
      <c r="B98" s="106"/>
      <c r="C98" s="106"/>
      <c r="D98" s="106"/>
      <c r="E98" s="106"/>
      <c r="F98" s="106"/>
      <c r="G98" s="106"/>
      <c r="H98" s="106"/>
      <c r="I98" s="255"/>
      <c r="J98" s="273" t="s">
        <v>44</v>
      </c>
    </row>
    <row r="99" spans="1:10" ht="12.75" customHeight="1">
      <c r="A99" s="106"/>
      <c r="B99" s="106"/>
      <c r="C99" s="106"/>
      <c r="D99" s="106"/>
      <c r="E99" s="106"/>
      <c r="F99" s="106"/>
      <c r="G99" s="106"/>
      <c r="H99" s="106"/>
      <c r="I99" s="255"/>
      <c r="J99" s="273" t="s">
        <v>44</v>
      </c>
    </row>
    <row r="100" spans="1:10" ht="12.75" customHeight="1">
      <c r="A100" s="106"/>
      <c r="B100" s="106"/>
      <c r="C100" s="106"/>
      <c r="D100" s="106"/>
      <c r="E100" s="106"/>
      <c r="F100" s="106"/>
      <c r="G100" s="106"/>
      <c r="H100" s="106"/>
      <c r="I100" s="255"/>
      <c r="J100" s="273" t="s">
        <v>44</v>
      </c>
    </row>
    <row r="101" spans="1:10" ht="12.75" customHeight="1">
      <c r="A101" s="106"/>
      <c r="B101" s="106"/>
      <c r="C101" s="106"/>
      <c r="D101" s="106"/>
      <c r="E101" s="106"/>
      <c r="F101" s="106"/>
      <c r="G101" s="106"/>
      <c r="H101" s="106"/>
      <c r="I101" s="255"/>
      <c r="J101" s="273" t="s">
        <v>44</v>
      </c>
    </row>
    <row r="102" spans="1:10" ht="12.75" customHeight="1">
      <c r="A102" s="105"/>
      <c r="B102" s="105"/>
      <c r="C102" s="105"/>
      <c r="D102" s="105"/>
      <c r="E102" s="105"/>
      <c r="F102" s="105"/>
      <c r="G102" s="106"/>
      <c r="H102" s="106"/>
      <c r="I102" s="255"/>
      <c r="J102" s="273" t="s">
        <v>44</v>
      </c>
    </row>
    <row r="103" spans="1:10" ht="12.75" customHeight="1">
      <c r="A103" s="105"/>
      <c r="B103" s="105"/>
      <c r="C103" s="105"/>
      <c r="D103" s="105"/>
      <c r="E103" s="105"/>
      <c r="F103" s="105"/>
      <c r="G103" s="106"/>
      <c r="H103" s="106"/>
      <c r="I103" s="255"/>
      <c r="J103" s="273" t="s">
        <v>44</v>
      </c>
    </row>
    <row r="104" spans="1:10" ht="12.75" customHeight="1">
      <c r="A104" s="106"/>
      <c r="B104" s="106"/>
      <c r="C104" s="106"/>
      <c r="D104" s="106"/>
      <c r="E104" s="106"/>
      <c r="F104" s="106"/>
      <c r="G104" s="106"/>
      <c r="H104" s="106"/>
      <c r="I104" s="255"/>
      <c r="J104" s="273" t="s">
        <v>44</v>
      </c>
    </row>
    <row r="105" spans="1:10" ht="12.75" customHeight="1">
      <c r="A105" s="105"/>
      <c r="B105" s="105"/>
      <c r="C105" s="105"/>
      <c r="D105" s="105"/>
      <c r="E105" s="105"/>
      <c r="F105" s="105"/>
      <c r="G105" s="106"/>
      <c r="H105" s="106"/>
      <c r="I105" s="255"/>
      <c r="J105" s="273" t="s">
        <v>44</v>
      </c>
    </row>
    <row r="106" spans="1:10" ht="12.75" customHeight="1">
      <c r="A106" s="256"/>
      <c r="B106" s="256"/>
      <c r="C106" s="256"/>
      <c r="D106" s="256"/>
      <c r="E106" s="256"/>
      <c r="F106" s="257"/>
      <c r="G106" s="106"/>
      <c r="H106" s="106"/>
      <c r="I106" s="255"/>
      <c r="J106" s="273" t="s">
        <v>44</v>
      </c>
    </row>
    <row r="107" spans="1:12" ht="12.75" customHeight="1">
      <c r="A107" s="106"/>
      <c r="B107" s="106"/>
      <c r="C107" s="106"/>
      <c r="D107" s="106"/>
      <c r="E107" s="106"/>
      <c r="F107" s="106"/>
      <c r="G107" s="106"/>
      <c r="H107" s="106"/>
      <c r="I107" s="255"/>
      <c r="J107" s="273" t="s">
        <v>44</v>
      </c>
      <c r="L107" s="1" t="s">
        <v>225</v>
      </c>
    </row>
    <row r="108" spans="1:10" ht="12.75" customHeight="1">
      <c r="A108" s="106"/>
      <c r="B108" s="106"/>
      <c r="C108" s="106"/>
      <c r="D108" s="106"/>
      <c r="E108" s="106"/>
      <c r="F108" s="106"/>
      <c r="G108" s="106"/>
      <c r="H108" s="106"/>
      <c r="I108" s="255"/>
      <c r="J108" s="273" t="s">
        <v>44</v>
      </c>
    </row>
    <row r="109" spans="1:10" ht="12.75" customHeight="1">
      <c r="A109" s="106"/>
      <c r="B109" s="106"/>
      <c r="C109" s="106"/>
      <c r="D109" s="106"/>
      <c r="E109" s="106"/>
      <c r="F109" s="106"/>
      <c r="G109" s="106"/>
      <c r="H109" s="106"/>
      <c r="I109" s="255"/>
      <c r="J109" s="273" t="s">
        <v>44</v>
      </c>
    </row>
    <row r="110" spans="1:10" ht="12.75" customHeight="1">
      <c r="A110" s="106"/>
      <c r="B110" s="106"/>
      <c r="C110" s="106"/>
      <c r="D110" s="106"/>
      <c r="E110" s="106"/>
      <c r="F110" s="106"/>
      <c r="G110" s="106"/>
      <c r="H110" s="106"/>
      <c r="I110" s="255"/>
      <c r="J110" s="273" t="s">
        <v>44</v>
      </c>
    </row>
    <row r="111" spans="1:10" ht="12.75" customHeight="1">
      <c r="A111" s="106"/>
      <c r="B111" s="106"/>
      <c r="C111" s="106"/>
      <c r="D111" s="106"/>
      <c r="E111" s="106"/>
      <c r="F111" s="106"/>
      <c r="G111" s="106"/>
      <c r="H111" s="106"/>
      <c r="I111" s="255"/>
      <c r="J111" s="273" t="s">
        <v>44</v>
      </c>
    </row>
    <row r="112" spans="1:10" ht="12.75" customHeight="1">
      <c r="A112" s="106"/>
      <c r="B112" s="106"/>
      <c r="C112" s="106"/>
      <c r="D112" s="106"/>
      <c r="E112" s="106"/>
      <c r="F112" s="106"/>
      <c r="G112" s="106"/>
      <c r="H112" s="106"/>
      <c r="I112" s="255"/>
      <c r="J112" s="273" t="s">
        <v>44</v>
      </c>
    </row>
    <row r="113" spans="1:10" ht="12.75" customHeight="1">
      <c r="A113" s="106"/>
      <c r="B113" s="106"/>
      <c r="C113" s="106"/>
      <c r="D113" s="106"/>
      <c r="E113" s="106"/>
      <c r="F113" s="106"/>
      <c r="G113" s="106"/>
      <c r="H113" s="106"/>
      <c r="I113" s="255"/>
      <c r="J113" s="273" t="s">
        <v>44</v>
      </c>
    </row>
    <row r="114" spans="1:10" ht="12.75" customHeight="1">
      <c r="A114" s="106"/>
      <c r="B114" s="106"/>
      <c r="C114" s="106"/>
      <c r="D114" s="106"/>
      <c r="E114" s="106"/>
      <c r="F114" s="106"/>
      <c r="G114" s="106"/>
      <c r="H114" s="106"/>
      <c r="I114" s="255"/>
      <c r="J114" s="273" t="s">
        <v>44</v>
      </c>
    </row>
    <row r="115" spans="1:10" ht="12.75" customHeight="1">
      <c r="A115" s="106"/>
      <c r="B115" s="106"/>
      <c r="C115" s="106"/>
      <c r="D115" s="106"/>
      <c r="E115" s="106"/>
      <c r="F115" s="106"/>
      <c r="G115" s="106"/>
      <c r="H115" s="106"/>
      <c r="I115" s="255"/>
      <c r="J115" s="273" t="s">
        <v>44</v>
      </c>
    </row>
    <row r="116" spans="1:10" ht="12.75" customHeight="1">
      <c r="A116" s="106"/>
      <c r="B116" s="106"/>
      <c r="C116" s="106"/>
      <c r="D116" s="106"/>
      <c r="E116" s="106"/>
      <c r="F116" s="106"/>
      <c r="G116" s="106"/>
      <c r="H116" s="106"/>
      <c r="I116" s="255"/>
      <c r="J116" s="273" t="s">
        <v>44</v>
      </c>
    </row>
    <row r="117" spans="1:10" ht="12.75" customHeight="1">
      <c r="A117" s="106"/>
      <c r="B117" s="106"/>
      <c r="C117" s="106"/>
      <c r="D117" s="106"/>
      <c r="E117" s="106"/>
      <c r="F117" s="106"/>
      <c r="G117" s="106"/>
      <c r="H117" s="106"/>
      <c r="I117" s="255"/>
      <c r="J117" s="273" t="s">
        <v>44</v>
      </c>
    </row>
    <row r="118" spans="1:10" ht="12.75" customHeight="1">
      <c r="A118" s="106"/>
      <c r="B118" s="106"/>
      <c r="C118" s="106"/>
      <c r="D118" s="106"/>
      <c r="E118" s="106"/>
      <c r="F118" s="106"/>
      <c r="G118" s="106"/>
      <c r="H118" s="106"/>
      <c r="I118" s="255"/>
      <c r="J118" s="273" t="s">
        <v>44</v>
      </c>
    </row>
    <row r="119" spans="1:10" ht="12.75" customHeight="1">
      <c r="A119" s="106"/>
      <c r="B119" s="106"/>
      <c r="C119" s="106"/>
      <c r="D119" s="106"/>
      <c r="E119" s="106"/>
      <c r="F119" s="106"/>
      <c r="G119" s="106"/>
      <c r="H119" s="106"/>
      <c r="I119" s="255"/>
      <c r="J119" s="273" t="s">
        <v>44</v>
      </c>
    </row>
    <row r="120" spans="1:10" ht="12.75" customHeight="1">
      <c r="A120" s="106"/>
      <c r="B120" s="106"/>
      <c r="C120" s="106"/>
      <c r="D120" s="106"/>
      <c r="E120" s="106"/>
      <c r="F120" s="106"/>
      <c r="G120" s="106"/>
      <c r="H120" s="106"/>
      <c r="I120" s="255"/>
      <c r="J120" s="273" t="s">
        <v>44</v>
      </c>
    </row>
    <row r="121" spans="1:10" ht="12.75" customHeight="1">
      <c r="A121" s="106"/>
      <c r="B121" s="106"/>
      <c r="C121" s="106"/>
      <c r="D121" s="106"/>
      <c r="E121" s="106"/>
      <c r="F121" s="106"/>
      <c r="G121" s="106"/>
      <c r="H121" s="106"/>
      <c r="I121" s="255"/>
      <c r="J121" s="273" t="s">
        <v>44</v>
      </c>
    </row>
    <row r="122" spans="1:10" ht="12.75" customHeight="1">
      <c r="A122" s="106"/>
      <c r="B122" s="106"/>
      <c r="C122" s="106"/>
      <c r="D122" s="106"/>
      <c r="E122" s="106"/>
      <c r="F122" s="106"/>
      <c r="G122" s="106"/>
      <c r="H122" s="106"/>
      <c r="I122" s="255"/>
      <c r="J122" s="273" t="s">
        <v>44</v>
      </c>
    </row>
    <row r="123" spans="1:10" ht="12.75" customHeight="1">
      <c r="A123" s="106"/>
      <c r="B123" s="106"/>
      <c r="C123" s="106"/>
      <c r="D123" s="106"/>
      <c r="E123" s="106"/>
      <c r="F123" s="106"/>
      <c r="G123" s="106"/>
      <c r="H123" s="106"/>
      <c r="I123" s="255"/>
      <c r="J123" s="273" t="s">
        <v>44</v>
      </c>
    </row>
    <row r="124" spans="1:10" ht="12.75" customHeight="1">
      <c r="A124" s="106"/>
      <c r="B124" s="106"/>
      <c r="C124" s="106"/>
      <c r="D124" s="106"/>
      <c r="E124" s="106"/>
      <c r="F124" s="106"/>
      <c r="G124" s="106"/>
      <c r="H124" s="106"/>
      <c r="I124" s="255"/>
      <c r="J124" s="273" t="s">
        <v>44</v>
      </c>
    </row>
    <row r="125" spans="1:10" ht="12.75" customHeight="1">
      <c r="A125" s="106"/>
      <c r="B125" s="106"/>
      <c r="C125" s="106"/>
      <c r="D125" s="106"/>
      <c r="E125" s="106"/>
      <c r="F125" s="106"/>
      <c r="G125" s="106"/>
      <c r="H125" s="106"/>
      <c r="I125" s="255"/>
      <c r="J125" s="273" t="s">
        <v>44</v>
      </c>
    </row>
    <row r="126" spans="1:10" ht="12.75" customHeight="1">
      <c r="A126" s="106"/>
      <c r="B126" s="106"/>
      <c r="C126" s="106"/>
      <c r="D126" s="106"/>
      <c r="E126" s="106"/>
      <c r="F126" s="106"/>
      <c r="G126" s="106"/>
      <c r="H126" s="106"/>
      <c r="I126" s="255"/>
      <c r="J126" s="273" t="s">
        <v>44</v>
      </c>
    </row>
    <row r="127" spans="1:10" ht="12.75" customHeight="1">
      <c r="A127" s="106"/>
      <c r="B127" s="106"/>
      <c r="C127" s="106"/>
      <c r="D127" s="106"/>
      <c r="E127" s="106"/>
      <c r="F127" s="106"/>
      <c r="G127" s="106"/>
      <c r="H127" s="106"/>
      <c r="I127" s="255"/>
      <c r="J127" s="273" t="s">
        <v>44</v>
      </c>
    </row>
    <row r="128" spans="1:10" ht="12.75" customHeight="1">
      <c r="A128" s="106"/>
      <c r="B128" s="106"/>
      <c r="C128" s="106"/>
      <c r="D128" s="106"/>
      <c r="E128" s="106"/>
      <c r="F128" s="106"/>
      <c r="G128" s="106"/>
      <c r="H128" s="106"/>
      <c r="I128" s="255"/>
      <c r="J128" s="273" t="s">
        <v>44</v>
      </c>
    </row>
    <row r="129" spans="1:10" ht="12.75" customHeight="1">
      <c r="A129" s="106"/>
      <c r="B129" s="106"/>
      <c r="C129" s="106"/>
      <c r="D129" s="106"/>
      <c r="E129" s="106"/>
      <c r="F129" s="106"/>
      <c r="G129" s="106"/>
      <c r="H129" s="106"/>
      <c r="I129" s="255"/>
      <c r="J129" s="273" t="s">
        <v>44</v>
      </c>
    </row>
    <row r="130" spans="1:10" ht="12.75" customHeight="1">
      <c r="A130" s="106"/>
      <c r="B130" s="106"/>
      <c r="C130" s="106"/>
      <c r="D130" s="106"/>
      <c r="E130" s="106"/>
      <c r="F130" s="106"/>
      <c r="G130" s="106"/>
      <c r="H130" s="106"/>
      <c r="I130" s="255"/>
      <c r="J130" s="273" t="s">
        <v>44</v>
      </c>
    </row>
    <row r="131" spans="1:10" ht="12.75" customHeight="1">
      <c r="A131" s="106"/>
      <c r="B131" s="106"/>
      <c r="C131" s="106"/>
      <c r="D131" s="106"/>
      <c r="E131" s="106"/>
      <c r="F131" s="106"/>
      <c r="G131" s="106"/>
      <c r="H131" s="106"/>
      <c r="I131" s="255"/>
      <c r="J131" s="273" t="s">
        <v>44</v>
      </c>
    </row>
    <row r="132" spans="1:10" ht="12.75" customHeight="1">
      <c r="A132" s="106"/>
      <c r="B132" s="106"/>
      <c r="C132" s="106"/>
      <c r="D132" s="106"/>
      <c r="E132" s="106"/>
      <c r="F132" s="106"/>
      <c r="G132" s="106"/>
      <c r="H132" s="106"/>
      <c r="I132" s="255"/>
      <c r="J132" s="273" t="s">
        <v>44</v>
      </c>
    </row>
    <row r="133" spans="1:10" ht="12.75" customHeight="1">
      <c r="A133" s="106"/>
      <c r="B133" s="106"/>
      <c r="C133" s="106"/>
      <c r="D133" s="106"/>
      <c r="E133" s="106"/>
      <c r="F133" s="106"/>
      <c r="G133" s="106"/>
      <c r="H133" s="106"/>
      <c r="I133" s="255"/>
      <c r="J133" s="273" t="s">
        <v>44</v>
      </c>
    </row>
    <row r="134" spans="1:10" ht="12.75" customHeight="1">
      <c r="A134" s="106"/>
      <c r="B134" s="106"/>
      <c r="C134" s="106"/>
      <c r="D134" s="106"/>
      <c r="E134" s="106"/>
      <c r="F134" s="106"/>
      <c r="G134" s="106"/>
      <c r="H134" s="106"/>
      <c r="I134" s="255"/>
      <c r="J134" s="273" t="s">
        <v>44</v>
      </c>
    </row>
    <row r="135" spans="1:10" ht="12.75" customHeight="1">
      <c r="A135" s="106"/>
      <c r="B135" s="106"/>
      <c r="C135" s="106"/>
      <c r="D135" s="106"/>
      <c r="E135" s="106"/>
      <c r="F135" s="106"/>
      <c r="G135" s="106"/>
      <c r="H135" s="106"/>
      <c r="I135" s="255"/>
      <c r="J135" s="273" t="s">
        <v>44</v>
      </c>
    </row>
    <row r="136" spans="1:10" ht="12.75" customHeight="1">
      <c r="A136" s="106"/>
      <c r="B136" s="106"/>
      <c r="C136" s="106"/>
      <c r="D136" s="106"/>
      <c r="E136" s="106"/>
      <c r="F136" s="106"/>
      <c r="G136" s="106"/>
      <c r="H136" s="106"/>
      <c r="I136" s="255"/>
      <c r="J136" s="273" t="s">
        <v>44</v>
      </c>
    </row>
    <row r="137" spans="1:10" ht="12.75" customHeight="1">
      <c r="A137" s="106"/>
      <c r="B137" s="106"/>
      <c r="C137" s="106"/>
      <c r="D137" s="106"/>
      <c r="E137" s="106"/>
      <c r="F137" s="106"/>
      <c r="G137" s="106"/>
      <c r="H137" s="106"/>
      <c r="I137" s="255"/>
      <c r="J137" s="273" t="s">
        <v>44</v>
      </c>
    </row>
    <row r="138" spans="1:10" ht="12.75" customHeight="1">
      <c r="A138" s="106"/>
      <c r="B138" s="106"/>
      <c r="C138" s="106"/>
      <c r="D138" s="106"/>
      <c r="E138" s="106"/>
      <c r="F138" s="106"/>
      <c r="G138" s="106"/>
      <c r="H138" s="106"/>
      <c r="I138" s="255"/>
      <c r="J138" s="273" t="s">
        <v>44</v>
      </c>
    </row>
    <row r="139" spans="1:12" ht="12.75" customHeight="1">
      <c r="A139" s="106"/>
      <c r="B139" s="106"/>
      <c r="C139" s="106"/>
      <c r="D139" s="106"/>
      <c r="E139" s="106"/>
      <c r="F139" s="106"/>
      <c r="G139" s="106"/>
      <c r="H139" s="106"/>
      <c r="I139" s="255"/>
      <c r="J139" s="273" t="s">
        <v>44</v>
      </c>
      <c r="L139" s="3" t="s">
        <v>44</v>
      </c>
    </row>
    <row r="140" spans="1:12" ht="12.75" customHeight="1">
      <c r="A140" s="106"/>
      <c r="B140" s="106"/>
      <c r="C140" s="106"/>
      <c r="D140" s="106"/>
      <c r="E140" s="106"/>
      <c r="F140" s="106"/>
      <c r="G140" s="106"/>
      <c r="H140" s="106"/>
      <c r="I140" s="255"/>
      <c r="J140" s="273" t="s">
        <v>44</v>
      </c>
      <c r="L140" s="1" t="s">
        <v>224</v>
      </c>
    </row>
    <row r="141" spans="1:12" ht="12.75" customHeight="1">
      <c r="A141" s="106"/>
      <c r="B141" s="106"/>
      <c r="C141" s="106"/>
      <c r="D141" s="106"/>
      <c r="E141" s="106"/>
      <c r="F141" s="106"/>
      <c r="G141" s="106"/>
      <c r="H141" s="106"/>
      <c r="I141" s="255"/>
      <c r="J141" s="273" t="s">
        <v>44</v>
      </c>
      <c r="L141" s="1" t="s">
        <v>225</v>
      </c>
    </row>
    <row r="142" spans="1:10" ht="12.75" customHeight="1">
      <c r="A142" s="106"/>
      <c r="B142" s="106"/>
      <c r="C142" s="106"/>
      <c r="D142" s="106"/>
      <c r="E142" s="106"/>
      <c r="F142" s="106"/>
      <c r="G142" s="106"/>
      <c r="H142" s="106"/>
      <c r="I142" s="255"/>
      <c r="J142" s="273" t="s">
        <v>44</v>
      </c>
    </row>
    <row r="143" spans="1:10" ht="12.75" customHeight="1">
      <c r="A143" s="106"/>
      <c r="B143" s="106"/>
      <c r="C143" s="106"/>
      <c r="D143" s="106"/>
      <c r="E143" s="106"/>
      <c r="F143" s="106"/>
      <c r="G143" s="106"/>
      <c r="H143" s="106"/>
      <c r="I143" s="255"/>
      <c r="J143" s="273" t="s">
        <v>44</v>
      </c>
    </row>
    <row r="144" spans="1:10" ht="12.75" customHeight="1">
      <c r="A144" s="106"/>
      <c r="B144" s="106"/>
      <c r="C144" s="106"/>
      <c r="D144" s="106"/>
      <c r="E144" s="106"/>
      <c r="F144" s="106"/>
      <c r="G144" s="106"/>
      <c r="H144" s="106"/>
      <c r="I144" s="255"/>
      <c r="J144" s="273" t="s">
        <v>44</v>
      </c>
    </row>
    <row r="145" spans="1:10" ht="12.75" customHeight="1">
      <c r="A145" s="106"/>
      <c r="B145" s="106"/>
      <c r="C145" s="106"/>
      <c r="D145" s="106"/>
      <c r="E145" s="106"/>
      <c r="F145" s="106"/>
      <c r="G145" s="106"/>
      <c r="H145" s="106"/>
      <c r="I145" s="255"/>
      <c r="J145" s="273" t="s">
        <v>44</v>
      </c>
    </row>
    <row r="146" spans="1:10" ht="12.75" customHeight="1">
      <c r="A146" s="106"/>
      <c r="B146" s="106"/>
      <c r="C146" s="106"/>
      <c r="D146" s="106"/>
      <c r="E146" s="106"/>
      <c r="F146" s="106"/>
      <c r="G146" s="106"/>
      <c r="H146" s="106"/>
      <c r="I146" s="255"/>
      <c r="J146" s="273" t="s">
        <v>44</v>
      </c>
    </row>
    <row r="147" spans="1:10" ht="12.75" customHeight="1">
      <c r="A147" s="106"/>
      <c r="B147" s="106"/>
      <c r="C147" s="106"/>
      <c r="D147" s="106"/>
      <c r="E147" s="106"/>
      <c r="F147" s="106"/>
      <c r="G147" s="106"/>
      <c r="H147" s="106"/>
      <c r="I147" s="255"/>
      <c r="J147" s="273" t="s">
        <v>44</v>
      </c>
    </row>
    <row r="148" spans="1:10" ht="12.75" customHeight="1">
      <c r="A148" s="106"/>
      <c r="B148" s="106"/>
      <c r="C148" s="106"/>
      <c r="D148" s="106"/>
      <c r="E148" s="106"/>
      <c r="F148" s="106"/>
      <c r="G148" s="106"/>
      <c r="H148" s="106"/>
      <c r="I148" s="255"/>
      <c r="J148" s="273" t="s">
        <v>44</v>
      </c>
    </row>
    <row r="149" spans="1:10" ht="12.75" customHeight="1">
      <c r="A149" s="106"/>
      <c r="B149" s="106"/>
      <c r="C149" s="106"/>
      <c r="D149" s="106"/>
      <c r="E149" s="106"/>
      <c r="F149" s="106"/>
      <c r="G149" s="106"/>
      <c r="H149" s="106"/>
      <c r="I149" s="255"/>
      <c r="J149" s="273" t="s">
        <v>44</v>
      </c>
    </row>
    <row r="150" spans="1:10" ht="12.75" customHeight="1">
      <c r="A150" s="106"/>
      <c r="B150" s="106"/>
      <c r="C150" s="106"/>
      <c r="D150" s="106"/>
      <c r="E150" s="106"/>
      <c r="F150" s="106"/>
      <c r="G150" s="106"/>
      <c r="H150" s="106"/>
      <c r="I150" s="255"/>
      <c r="J150" s="273" t="s">
        <v>44</v>
      </c>
    </row>
    <row r="151" spans="1:10" ht="12.75" customHeight="1">
      <c r="A151" s="106"/>
      <c r="B151" s="106"/>
      <c r="C151" s="106"/>
      <c r="D151" s="106"/>
      <c r="E151" s="106"/>
      <c r="F151" s="106"/>
      <c r="G151" s="106"/>
      <c r="H151" s="106"/>
      <c r="I151" s="255"/>
      <c r="J151" s="273" t="s">
        <v>44</v>
      </c>
    </row>
    <row r="152" spans="1:10" ht="12.75" customHeight="1">
      <c r="A152" s="106"/>
      <c r="B152" s="106"/>
      <c r="C152" s="106"/>
      <c r="D152" s="106"/>
      <c r="E152" s="106"/>
      <c r="F152" s="106"/>
      <c r="G152" s="106"/>
      <c r="H152" s="106"/>
      <c r="I152" s="255"/>
      <c r="J152" s="273" t="s">
        <v>44</v>
      </c>
    </row>
    <row r="153" spans="1:10" ht="12.75" customHeight="1">
      <c r="A153" s="106"/>
      <c r="B153" s="106"/>
      <c r="C153" s="106"/>
      <c r="D153" s="106"/>
      <c r="E153" s="106"/>
      <c r="F153" s="106"/>
      <c r="G153" s="106"/>
      <c r="H153" s="106"/>
      <c r="I153" s="255"/>
      <c r="J153" s="273" t="s">
        <v>44</v>
      </c>
    </row>
    <row r="154" spans="1:10" ht="12.75" customHeight="1">
      <c r="A154" s="106"/>
      <c r="B154" s="106"/>
      <c r="C154" s="106"/>
      <c r="D154" s="106"/>
      <c r="E154" s="106"/>
      <c r="F154" s="106"/>
      <c r="G154" s="106"/>
      <c r="H154" s="106"/>
      <c r="I154" s="255"/>
      <c r="J154" s="273" t="s">
        <v>44</v>
      </c>
    </row>
    <row r="155" spans="1:10" ht="12.75" customHeight="1">
      <c r="A155" s="106"/>
      <c r="B155" s="106"/>
      <c r="C155" s="106"/>
      <c r="D155" s="106"/>
      <c r="E155" s="106"/>
      <c r="F155" s="106"/>
      <c r="G155" s="106"/>
      <c r="H155" s="106"/>
      <c r="I155" s="255"/>
      <c r="J155" s="273" t="s">
        <v>44</v>
      </c>
    </row>
    <row r="156" spans="1:10" ht="12.75" customHeight="1">
      <c r="A156" s="106"/>
      <c r="B156" s="106"/>
      <c r="C156" s="106"/>
      <c r="D156" s="106"/>
      <c r="E156" s="106"/>
      <c r="F156" s="106"/>
      <c r="G156" s="106"/>
      <c r="H156" s="106"/>
      <c r="I156" s="255"/>
      <c r="J156" s="273" t="s">
        <v>44</v>
      </c>
    </row>
    <row r="157" spans="1:10" ht="12.75" customHeight="1">
      <c r="A157" s="106"/>
      <c r="B157" s="106"/>
      <c r="C157" s="106"/>
      <c r="D157" s="106"/>
      <c r="E157" s="106"/>
      <c r="F157" s="106"/>
      <c r="G157" s="106"/>
      <c r="H157" s="106"/>
      <c r="I157" s="255"/>
      <c r="J157" s="273" t="s">
        <v>44</v>
      </c>
    </row>
    <row r="158" spans="1:10" ht="12.75" customHeight="1">
      <c r="A158" s="106"/>
      <c r="B158" s="106"/>
      <c r="C158" s="106"/>
      <c r="D158" s="106"/>
      <c r="E158" s="106"/>
      <c r="F158" s="106"/>
      <c r="G158" s="106"/>
      <c r="H158" s="106"/>
      <c r="I158" s="255"/>
      <c r="J158" s="273" t="s">
        <v>44</v>
      </c>
    </row>
    <row r="159" spans="1:10" ht="12.75" customHeight="1">
      <c r="A159" s="106"/>
      <c r="B159" s="106"/>
      <c r="C159" s="106"/>
      <c r="D159" s="106"/>
      <c r="E159" s="106"/>
      <c r="F159" s="106"/>
      <c r="G159" s="106"/>
      <c r="H159" s="106"/>
      <c r="I159" s="255"/>
      <c r="J159" s="273" t="s">
        <v>44</v>
      </c>
    </row>
    <row r="160" spans="1:10" ht="12.75" customHeight="1">
      <c r="A160" s="106"/>
      <c r="B160" s="106"/>
      <c r="C160" s="106"/>
      <c r="D160" s="106"/>
      <c r="E160" s="106"/>
      <c r="F160" s="106"/>
      <c r="G160" s="106"/>
      <c r="H160" s="106"/>
      <c r="I160" s="255"/>
      <c r="J160" s="273" t="s">
        <v>44</v>
      </c>
    </row>
    <row r="161" spans="1:10" ht="12.75" customHeight="1">
      <c r="A161" s="106"/>
      <c r="B161" s="106"/>
      <c r="C161" s="106"/>
      <c r="D161" s="106"/>
      <c r="E161" s="106"/>
      <c r="F161" s="106"/>
      <c r="G161" s="106"/>
      <c r="H161" s="106"/>
      <c r="I161" s="255"/>
      <c r="J161" s="273" t="s">
        <v>44</v>
      </c>
    </row>
    <row r="162" spans="1:10" ht="12.75" customHeight="1">
      <c r="A162" s="106"/>
      <c r="B162" s="106"/>
      <c r="C162" s="106"/>
      <c r="D162" s="106"/>
      <c r="E162" s="106"/>
      <c r="F162" s="106"/>
      <c r="G162" s="106"/>
      <c r="H162" s="106"/>
      <c r="I162" s="255"/>
      <c r="J162" s="273" t="s">
        <v>44</v>
      </c>
    </row>
    <row r="163" spans="1:10" ht="12.75" customHeight="1">
      <c r="A163" s="106"/>
      <c r="B163" s="106"/>
      <c r="C163" s="106"/>
      <c r="D163" s="106"/>
      <c r="E163" s="106"/>
      <c r="F163" s="106"/>
      <c r="G163" s="106"/>
      <c r="H163" s="106"/>
      <c r="I163" s="255"/>
      <c r="J163" s="273" t="s">
        <v>44</v>
      </c>
    </row>
    <row r="164" spans="1:10" ht="12.75" customHeight="1">
      <c r="A164" s="106"/>
      <c r="B164" s="106"/>
      <c r="C164" s="106"/>
      <c r="D164" s="106"/>
      <c r="E164" s="106"/>
      <c r="F164" s="106"/>
      <c r="G164" s="106"/>
      <c r="H164" s="106"/>
      <c r="I164" s="255"/>
      <c r="J164" s="273" t="s">
        <v>44</v>
      </c>
    </row>
    <row r="165" spans="1:10" ht="12.75" customHeight="1">
      <c r="A165" s="106"/>
      <c r="B165" s="106"/>
      <c r="C165" s="106"/>
      <c r="D165" s="106"/>
      <c r="E165" s="106"/>
      <c r="F165" s="106"/>
      <c r="G165" s="106"/>
      <c r="H165" s="106"/>
      <c r="I165" s="255"/>
      <c r="J165" s="273" t="s">
        <v>44</v>
      </c>
    </row>
    <row r="166" spans="1:10" ht="12.75" customHeight="1">
      <c r="A166" s="106"/>
      <c r="B166" s="106"/>
      <c r="C166" s="106"/>
      <c r="D166" s="106"/>
      <c r="E166" s="106"/>
      <c r="F166" s="106"/>
      <c r="G166" s="106"/>
      <c r="H166" s="106"/>
      <c r="I166" s="255"/>
      <c r="J166" s="273" t="s">
        <v>44</v>
      </c>
    </row>
    <row r="167" spans="1:10" ht="12.75" customHeight="1">
      <c r="A167" s="106"/>
      <c r="B167" s="106"/>
      <c r="C167" s="106"/>
      <c r="D167" s="106"/>
      <c r="E167" s="106"/>
      <c r="F167" s="106"/>
      <c r="G167" s="106"/>
      <c r="H167" s="106"/>
      <c r="I167" s="255"/>
      <c r="J167" s="273" t="s">
        <v>44</v>
      </c>
    </row>
    <row r="168" spans="1:10" ht="12.75" customHeight="1">
      <c r="A168" s="106"/>
      <c r="B168" s="106"/>
      <c r="C168" s="106"/>
      <c r="D168" s="106"/>
      <c r="E168" s="106"/>
      <c r="F168" s="106"/>
      <c r="G168" s="106"/>
      <c r="H168" s="106"/>
      <c r="I168" s="255"/>
      <c r="J168" s="273" t="s">
        <v>44</v>
      </c>
    </row>
    <row r="169" spans="1:10" ht="12.75" customHeight="1">
      <c r="A169" s="106"/>
      <c r="B169" s="106"/>
      <c r="C169" s="106"/>
      <c r="D169" s="106"/>
      <c r="E169" s="106"/>
      <c r="F169" s="106"/>
      <c r="G169" s="106"/>
      <c r="H169" s="106"/>
      <c r="I169" s="255"/>
      <c r="J169" s="273" t="s">
        <v>44</v>
      </c>
    </row>
    <row r="170" spans="1:10" ht="12.75" customHeight="1">
      <c r="A170" s="106"/>
      <c r="B170" s="106"/>
      <c r="C170" s="106"/>
      <c r="D170" s="106"/>
      <c r="E170" s="106"/>
      <c r="F170" s="106"/>
      <c r="G170" s="106"/>
      <c r="H170" s="106"/>
      <c r="I170" s="255"/>
      <c r="J170" s="273" t="s">
        <v>44</v>
      </c>
    </row>
    <row r="171" spans="1:10" ht="12.75" customHeight="1">
      <c r="A171" s="106"/>
      <c r="B171" s="106"/>
      <c r="C171" s="106"/>
      <c r="D171" s="106"/>
      <c r="E171" s="106"/>
      <c r="F171" s="106"/>
      <c r="G171" s="106"/>
      <c r="H171" s="106"/>
      <c r="I171" s="255"/>
      <c r="J171" s="273" t="s">
        <v>44</v>
      </c>
    </row>
    <row r="172" spans="1:10" ht="12.75" customHeight="1">
      <c r="A172" s="106"/>
      <c r="B172" s="106"/>
      <c r="C172" s="106"/>
      <c r="D172" s="106"/>
      <c r="E172" s="106"/>
      <c r="F172" s="106"/>
      <c r="G172" s="106"/>
      <c r="H172" s="106"/>
      <c r="I172" s="255"/>
      <c r="J172" s="273" t="s">
        <v>44</v>
      </c>
    </row>
    <row r="173" spans="1:10" ht="12.75" customHeight="1">
      <c r="A173" s="106"/>
      <c r="B173" s="106"/>
      <c r="C173" s="106"/>
      <c r="D173" s="106"/>
      <c r="E173" s="106"/>
      <c r="F173" s="106"/>
      <c r="G173" s="106"/>
      <c r="H173" s="106"/>
      <c r="I173" s="255"/>
      <c r="J173" s="273" t="s">
        <v>44</v>
      </c>
    </row>
    <row r="174" spans="1:10" ht="12.75" customHeight="1">
      <c r="A174" s="106"/>
      <c r="B174" s="106"/>
      <c r="C174" s="106"/>
      <c r="D174" s="106"/>
      <c r="E174" s="106"/>
      <c r="F174" s="106"/>
      <c r="G174" s="106"/>
      <c r="H174" s="106"/>
      <c r="I174" s="255"/>
      <c r="J174" s="273" t="s">
        <v>44</v>
      </c>
    </row>
    <row r="175" spans="1:10" ht="12.75" customHeight="1">
      <c r="A175" s="106"/>
      <c r="B175" s="106"/>
      <c r="C175" s="106"/>
      <c r="D175" s="106"/>
      <c r="E175" s="106"/>
      <c r="F175" s="106"/>
      <c r="G175" s="106"/>
      <c r="H175" s="106"/>
      <c r="I175" s="255"/>
      <c r="J175" s="273" t="s">
        <v>44</v>
      </c>
    </row>
    <row r="176" spans="1:10" ht="12.75" customHeight="1">
      <c r="A176" s="106"/>
      <c r="B176" s="106"/>
      <c r="C176" s="106"/>
      <c r="D176" s="106"/>
      <c r="E176" s="106"/>
      <c r="F176" s="106"/>
      <c r="G176" s="106"/>
      <c r="H176" s="106"/>
      <c r="I176" s="255"/>
      <c r="J176" s="273" t="s">
        <v>44</v>
      </c>
    </row>
    <row r="177" spans="1:10" ht="12.75" customHeight="1">
      <c r="A177" s="106"/>
      <c r="B177" s="106"/>
      <c r="C177" s="106"/>
      <c r="D177" s="106"/>
      <c r="E177" s="106"/>
      <c r="F177" s="106"/>
      <c r="G177" s="106"/>
      <c r="H177" s="106"/>
      <c r="I177" s="255"/>
      <c r="J177" s="273" t="s">
        <v>44</v>
      </c>
    </row>
    <row r="178" spans="1:10" ht="12.75" customHeight="1">
      <c r="A178" s="106"/>
      <c r="B178" s="106"/>
      <c r="C178" s="106"/>
      <c r="D178" s="106"/>
      <c r="E178" s="106"/>
      <c r="F178" s="106"/>
      <c r="G178" s="106"/>
      <c r="H178" s="106"/>
      <c r="I178" s="255"/>
      <c r="J178" s="273" t="s">
        <v>44</v>
      </c>
    </row>
    <row r="179" spans="1:10" ht="12.75" customHeight="1">
      <c r="A179" s="106"/>
      <c r="B179" s="106"/>
      <c r="C179" s="106"/>
      <c r="D179" s="106"/>
      <c r="E179" s="106"/>
      <c r="F179" s="106"/>
      <c r="G179" s="106"/>
      <c r="H179" s="106"/>
      <c r="I179" s="255"/>
      <c r="J179" s="273" t="s">
        <v>44</v>
      </c>
    </row>
    <row r="180" spans="1:10" ht="12.75" customHeight="1">
      <c r="A180" s="106"/>
      <c r="B180" s="106"/>
      <c r="C180" s="106"/>
      <c r="D180" s="106"/>
      <c r="E180" s="106"/>
      <c r="F180" s="106"/>
      <c r="G180" s="106"/>
      <c r="H180" s="106"/>
      <c r="I180" s="255"/>
      <c r="J180" s="273" t="s">
        <v>44</v>
      </c>
    </row>
    <row r="181" spans="1:10" ht="12.75" customHeight="1">
      <c r="A181" s="106"/>
      <c r="B181" s="106"/>
      <c r="C181" s="106"/>
      <c r="D181" s="106"/>
      <c r="E181" s="106"/>
      <c r="F181" s="106"/>
      <c r="G181" s="106"/>
      <c r="H181" s="106"/>
      <c r="I181" s="255"/>
      <c r="J181" s="273" t="s">
        <v>44</v>
      </c>
    </row>
    <row r="182" spans="1:10" ht="12.75" customHeight="1">
      <c r="A182" s="106"/>
      <c r="B182" s="106"/>
      <c r="C182" s="106"/>
      <c r="D182" s="106"/>
      <c r="E182" s="106"/>
      <c r="F182" s="106"/>
      <c r="G182" s="106"/>
      <c r="H182" s="106"/>
      <c r="I182" s="255"/>
      <c r="J182" s="273" t="s">
        <v>44</v>
      </c>
    </row>
    <row r="183" spans="1:10" ht="12.75" customHeight="1">
      <c r="A183" s="106"/>
      <c r="B183" s="106"/>
      <c r="C183" s="106"/>
      <c r="D183" s="106"/>
      <c r="E183" s="106"/>
      <c r="F183" s="106"/>
      <c r="G183" s="106"/>
      <c r="H183" s="106"/>
      <c r="I183" s="255"/>
      <c r="J183" s="273" t="s">
        <v>44</v>
      </c>
    </row>
    <row r="184" spans="1:10" ht="12.75" customHeight="1">
      <c r="A184" s="106"/>
      <c r="B184" s="106"/>
      <c r="C184" s="106"/>
      <c r="D184" s="106"/>
      <c r="E184" s="106"/>
      <c r="F184" s="106"/>
      <c r="G184" s="106"/>
      <c r="H184" s="106"/>
      <c r="I184" s="255"/>
      <c r="J184" s="273" t="s">
        <v>44</v>
      </c>
    </row>
    <row r="185" spans="1:10" ht="12.75" customHeight="1">
      <c r="A185" s="106"/>
      <c r="B185" s="106"/>
      <c r="C185" s="106"/>
      <c r="D185" s="106"/>
      <c r="E185" s="106"/>
      <c r="F185" s="106"/>
      <c r="G185" s="106"/>
      <c r="H185" s="106"/>
      <c r="I185" s="255"/>
      <c r="J185" s="273" t="s">
        <v>44</v>
      </c>
    </row>
    <row r="186" spans="1:10" ht="12.75" customHeight="1">
      <c r="A186" s="106"/>
      <c r="B186" s="106"/>
      <c r="C186" s="106"/>
      <c r="D186" s="106"/>
      <c r="E186" s="106"/>
      <c r="F186" s="106"/>
      <c r="G186" s="106"/>
      <c r="H186" s="106"/>
      <c r="I186" s="255"/>
      <c r="J186" s="273" t="s">
        <v>44</v>
      </c>
    </row>
    <row r="187" spans="1:10" ht="12.75" customHeight="1">
      <c r="A187" s="106"/>
      <c r="B187" s="106"/>
      <c r="C187" s="106"/>
      <c r="D187" s="106"/>
      <c r="E187" s="106"/>
      <c r="F187" s="106"/>
      <c r="G187" s="106"/>
      <c r="H187" s="106"/>
      <c r="I187" s="255"/>
      <c r="J187" s="273" t="s">
        <v>44</v>
      </c>
    </row>
    <row r="188" spans="1:10" ht="12.75" customHeight="1">
      <c r="A188" s="106"/>
      <c r="B188" s="106"/>
      <c r="C188" s="106"/>
      <c r="D188" s="106"/>
      <c r="E188" s="106"/>
      <c r="F188" s="106"/>
      <c r="G188" s="106"/>
      <c r="H188" s="106"/>
      <c r="I188" s="255"/>
      <c r="J188" s="273" t="s">
        <v>44</v>
      </c>
    </row>
    <row r="189" spans="1:10" ht="12.75" customHeight="1">
      <c r="A189" s="106"/>
      <c r="B189" s="106"/>
      <c r="C189" s="106"/>
      <c r="D189" s="106"/>
      <c r="E189" s="106"/>
      <c r="F189" s="106"/>
      <c r="G189" s="106"/>
      <c r="H189" s="106"/>
      <c r="I189" s="255"/>
      <c r="J189" s="273" t="s">
        <v>44</v>
      </c>
    </row>
    <row r="190" spans="1:10" ht="12.75" customHeight="1">
      <c r="A190" s="106"/>
      <c r="B190" s="106"/>
      <c r="C190" s="106"/>
      <c r="D190" s="106"/>
      <c r="E190" s="106"/>
      <c r="F190" s="106"/>
      <c r="G190" s="106"/>
      <c r="H190" s="106"/>
      <c r="I190" s="255"/>
      <c r="J190" s="273" t="s">
        <v>44</v>
      </c>
    </row>
    <row r="191" spans="1:10" ht="12.75" customHeight="1">
      <c r="A191" s="106"/>
      <c r="B191" s="106"/>
      <c r="C191" s="106"/>
      <c r="D191" s="106"/>
      <c r="E191" s="106"/>
      <c r="F191" s="106"/>
      <c r="G191" s="106"/>
      <c r="H191" s="106"/>
      <c r="I191" s="255"/>
      <c r="J191" s="273" t="s">
        <v>44</v>
      </c>
    </row>
    <row r="192" spans="1:10" ht="12.75" customHeight="1">
      <c r="A192" s="106"/>
      <c r="B192" s="106"/>
      <c r="C192" s="106"/>
      <c r="D192" s="106"/>
      <c r="E192" s="106"/>
      <c r="F192" s="106"/>
      <c r="G192" s="106"/>
      <c r="H192" s="106"/>
      <c r="I192" s="255"/>
      <c r="J192" s="273" t="s">
        <v>44</v>
      </c>
    </row>
    <row r="193" spans="1:10" ht="12.75" customHeight="1">
      <c r="A193" s="106"/>
      <c r="B193" s="106"/>
      <c r="C193" s="106"/>
      <c r="D193" s="106"/>
      <c r="E193" s="106"/>
      <c r="F193" s="106"/>
      <c r="G193" s="106"/>
      <c r="H193" s="106"/>
      <c r="I193" s="255"/>
      <c r="J193" s="273" t="s">
        <v>44</v>
      </c>
    </row>
    <row r="194" spans="1:10" ht="12.75" customHeight="1">
      <c r="A194" s="105"/>
      <c r="B194" s="105"/>
      <c r="C194" s="105"/>
      <c r="D194" s="105"/>
      <c r="E194" s="105"/>
      <c r="F194" s="105"/>
      <c r="G194" s="106"/>
      <c r="H194" s="106"/>
      <c r="I194" s="255"/>
      <c r="J194" s="273" t="s">
        <v>44</v>
      </c>
    </row>
    <row r="195" spans="1:10" ht="12.75" customHeight="1">
      <c r="A195" s="105"/>
      <c r="B195" s="105"/>
      <c r="C195" s="105"/>
      <c r="D195" s="105"/>
      <c r="E195" s="105"/>
      <c r="F195" s="105"/>
      <c r="G195" s="106"/>
      <c r="H195" s="106"/>
      <c r="I195" s="255"/>
      <c r="J195" s="273" t="s">
        <v>44</v>
      </c>
    </row>
    <row r="196" spans="1:10" ht="12.75" customHeight="1">
      <c r="A196" s="106"/>
      <c r="B196" s="106"/>
      <c r="C196" s="106"/>
      <c r="D196" s="106"/>
      <c r="E196" s="106"/>
      <c r="F196" s="106"/>
      <c r="G196" s="106"/>
      <c r="H196" s="106"/>
      <c r="I196" s="255"/>
      <c r="J196" s="273" t="s">
        <v>44</v>
      </c>
    </row>
    <row r="197" spans="1:10" ht="12.75" customHeight="1">
      <c r="A197" s="105"/>
      <c r="B197" s="105"/>
      <c r="C197" s="105"/>
      <c r="D197" s="105"/>
      <c r="E197" s="105"/>
      <c r="F197" s="105"/>
      <c r="G197" s="106"/>
      <c r="H197" s="106"/>
      <c r="I197" s="255"/>
      <c r="J197" s="273" t="s">
        <v>44</v>
      </c>
    </row>
    <row r="198" spans="1:10" ht="12.75" customHeight="1">
      <c r="A198" s="256"/>
      <c r="B198" s="256"/>
      <c r="C198" s="256"/>
      <c r="D198" s="256"/>
      <c r="E198" s="256"/>
      <c r="F198" s="257"/>
      <c r="G198" s="106"/>
      <c r="H198" s="106"/>
      <c r="I198" s="255"/>
      <c r="J198" s="273" t="s">
        <v>44</v>
      </c>
    </row>
    <row r="199" spans="1:10" ht="10.5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1"/>
    </row>
    <row r="200" spans="1:10" ht="15">
      <c r="A200" s="499" t="s">
        <v>227</v>
      </c>
      <c r="B200" s="499"/>
      <c r="C200" s="499"/>
      <c r="D200" s="499"/>
      <c r="E200" s="499"/>
      <c r="F200" s="499"/>
      <c r="G200" s="499"/>
      <c r="H200" s="499"/>
      <c r="I200" s="499"/>
      <c r="J200" s="499"/>
    </row>
    <row r="203" spans="1:2" ht="15" hidden="1">
      <c r="A203" s="3" t="s">
        <v>44</v>
      </c>
      <c r="B203" s="3" t="s">
        <v>44</v>
      </c>
    </row>
    <row r="204" spans="1:2" ht="15" hidden="1">
      <c r="A204" s="1" t="s">
        <v>15</v>
      </c>
      <c r="B204" s="1" t="s">
        <v>26</v>
      </c>
    </row>
    <row r="205" spans="1:2" ht="15" hidden="1">
      <c r="A205" s="1" t="s">
        <v>16</v>
      </c>
      <c r="B205" s="1" t="s">
        <v>27</v>
      </c>
    </row>
  </sheetData>
  <sheetProtection algorithmName="SHA-512" hashValue="TZNkPb2vTQGaKFxKRE7MkItNdN3sd9AeRfI5RZfk3BwTk4bDTt6hz8+VXF3jY5FDDNkpkFFIb6HDhlZlMgBhWQ==" saltValue="huAdaieESXUv/WSzSF7gBA==" spinCount="100000" sheet="1" objects="1" scenarios="1" selectLockedCells="1"/>
  <mergeCells count="5">
    <mergeCell ref="A200:J200"/>
    <mergeCell ref="B9:D9"/>
    <mergeCell ref="A4:C5"/>
    <mergeCell ref="F1:J5"/>
    <mergeCell ref="A6:J7"/>
  </mergeCells>
  <conditionalFormatting sqref="F1">
    <cfRule type="cellIs" priority="1" dxfId="50" operator="equal">
      <formula>"NextGen eOrder"</formula>
    </cfRule>
    <cfRule type="cellIs" priority="2" dxfId="1" operator="equal">
      <formula>"Director eOrder"</formula>
    </cfRule>
    <cfRule type="cellIs" priority="3" dxfId="48" operator="equal">
      <formula>"NextGen eOrder"</formula>
    </cfRule>
    <cfRule type="cellIs" priority="4" dxfId="0" operator="equal">
      <formula>"Director eOrder"</formula>
    </cfRule>
    <cfRule type="containsText" priority="5" dxfId="0" operator="containsText" text="NextGen">
      <formula>NOT(ISERROR(SEARCH("NextGen",F1)))</formula>
    </cfRule>
  </conditionalFormatting>
  <dataValidations count="1">
    <dataValidation type="list" allowBlank="1" showInputMessage="1" showErrorMessage="1" sqref="J13:J198">
      <formula1>$L$14:$L$107</formula1>
    </dataValidation>
  </dataValidations>
  <pageMargins left="0.236220472440945" right="0.236220472440945" top="0.354330708661417" bottom="0.354330708661417" header="0.31496062992126" footer="0.31496062992126"/>
  <pageSetup orientation="landscape" r:id="rId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F37"/>
  <sheetViews>
    <sheetView showGridLines="0" showRowColHeaders="0" zoomScale="145" zoomScaleNormal="145" workbookViewId="0" topLeftCell="A1">
      <selection pane="topLeft" activeCell="B21" sqref="B21"/>
    </sheetView>
  </sheetViews>
  <sheetFormatPr defaultColWidth="8.85546875" defaultRowHeight="15"/>
  <cols>
    <col min="1" max="2" width="26.1428571428571" style="235" customWidth="1"/>
    <col min="3" max="4" width="13.7142857142857" style="235" customWidth="1"/>
    <col min="5" max="5" width="20.4285714285714" style="235" customWidth="1"/>
    <col min="6" max="16384" width="8.85714285714286" style="235"/>
  </cols>
  <sheetData>
    <row r="1" spans="1:6" ht="15" customHeight="1">
      <c r="A1" s="248"/>
      <c r="B1" s="248"/>
      <c r="C1" s="248"/>
      <c r="D1" s="609" t="s">
        <v>468</v>
      </c>
      <c r="E1" s="609"/>
      <c r="F1" s="248"/>
    </row>
    <row r="2" spans="1:6" ht="15" customHeight="1">
      <c r="A2" s="248"/>
      <c r="B2" s="272"/>
      <c r="C2" s="248"/>
      <c r="D2" s="609"/>
      <c r="E2" s="609"/>
      <c r="F2" s="248"/>
    </row>
    <row r="3" spans="1:6" ht="15" customHeight="1">
      <c r="A3" s="248"/>
      <c r="B3" s="248"/>
      <c r="C3" s="248"/>
      <c r="D3" s="609"/>
      <c r="E3" s="609"/>
      <c r="F3" s="248"/>
    </row>
    <row r="4" spans="1:5" ht="15" customHeight="1">
      <c r="A4" s="248"/>
      <c r="B4" s="248"/>
      <c r="C4" s="248"/>
      <c r="D4" s="609"/>
      <c r="E4" s="609"/>
    </row>
    <row r="5" spans="1:5" ht="15" customHeight="1">
      <c r="A5" s="31"/>
      <c r="B5" s="31"/>
      <c r="C5" s="31"/>
      <c r="D5" s="610"/>
      <c r="E5" s="610"/>
    </row>
    <row r="6" spans="1:5" ht="15" customHeight="1">
      <c r="A6" s="504" t="s">
        <v>218</v>
      </c>
      <c r="B6" s="504"/>
      <c r="C6" s="504"/>
      <c r="D6" s="504"/>
      <c r="E6" s="504"/>
    </row>
    <row r="7" spans="1:5" ht="15" customHeight="1">
      <c r="A7" s="505"/>
      <c r="B7" s="505"/>
      <c r="C7" s="505"/>
      <c r="D7" s="505"/>
      <c r="E7" s="505"/>
    </row>
    <row r="8" ht="18.75" customHeight="1"/>
    <row r="9" spans="3:5" ht="18.75" customHeight="1">
      <c r="C9" s="236"/>
      <c r="D9" s="236"/>
      <c r="E9" s="236"/>
    </row>
    <row r="10" spans="3:5" ht="18.75" customHeight="1">
      <c r="C10" s="236"/>
      <c r="D10" s="236"/>
      <c r="E10" s="236"/>
    </row>
    <row r="11" spans="3:5" ht="18.75" customHeight="1">
      <c r="C11" s="236"/>
      <c r="D11" s="236"/>
      <c r="E11" s="236"/>
    </row>
    <row r="12" spans="3:5" ht="18.75" customHeight="1">
      <c r="C12" s="236"/>
      <c r="D12" s="236"/>
      <c r="E12" s="236"/>
    </row>
    <row r="13" spans="3:5" ht="18.75" customHeight="1">
      <c r="C13" s="236"/>
      <c r="D13" s="236"/>
      <c r="E13" s="236"/>
    </row>
    <row r="14" spans="3:5" ht="6.75" customHeight="1">
      <c r="C14" s="607"/>
      <c r="D14" s="607"/>
      <c r="E14" s="607"/>
    </row>
    <row r="15" spans="1:3" ht="15">
      <c r="A15" s="237" t="s">
        <v>216</v>
      </c>
      <c r="B15" s="237" t="s">
        <v>217</v>
      </c>
      <c r="C15" s="237" t="s">
        <v>23</v>
      </c>
    </row>
    <row r="16" spans="1:3" ht="15">
      <c r="A16" s="238"/>
      <c r="B16" s="239"/>
      <c r="C16" s="238"/>
    </row>
    <row r="17" spans="1:3" ht="15">
      <c r="A17" s="238"/>
      <c r="B17" s="239"/>
      <c r="C17" s="240"/>
    </row>
    <row r="18" spans="1:3" ht="15">
      <c r="A18" s="238"/>
      <c r="B18" s="238"/>
      <c r="C18" s="240"/>
    </row>
    <row r="19" spans="1:3" ht="15">
      <c r="A19" s="238"/>
      <c r="B19" s="238"/>
      <c r="C19" s="240"/>
    </row>
    <row r="20" spans="1:3" ht="15">
      <c r="A20" s="238"/>
      <c r="B20" s="238"/>
      <c r="C20" s="240"/>
    </row>
    <row r="21" spans="1:3" ht="15">
      <c r="A21" s="238"/>
      <c r="B21" s="238"/>
      <c r="C21" s="240"/>
    </row>
    <row r="22" spans="1:3" ht="15">
      <c r="A22" s="238"/>
      <c r="B22" s="238"/>
      <c r="C22" s="240"/>
    </row>
    <row r="23" spans="1:3" ht="15">
      <c r="A23" s="238"/>
      <c r="B23" s="238"/>
      <c r="C23" s="240"/>
    </row>
    <row r="24" spans="1:3" ht="15">
      <c r="A24" s="238"/>
      <c r="B24" s="238"/>
      <c r="C24" s="240"/>
    </row>
    <row r="25" spans="1:3" ht="15">
      <c r="A25" s="238"/>
      <c r="B25" s="238"/>
      <c r="C25" s="240"/>
    </row>
    <row r="26" spans="1:3" ht="15">
      <c r="A26" s="238"/>
      <c r="B26" s="238"/>
      <c r="C26" s="240"/>
    </row>
    <row r="27" spans="1:3" ht="15">
      <c r="A27" s="238"/>
      <c r="B27" s="238"/>
      <c r="C27" s="240"/>
    </row>
    <row r="28" spans="2:5" ht="15">
      <c r="B28" s="241"/>
      <c r="C28" s="242"/>
      <c r="D28" s="243"/>
      <c r="E28" s="243"/>
    </row>
    <row r="29" spans="2:5" ht="15">
      <c r="B29" s="241"/>
      <c r="C29" s="242"/>
      <c r="D29" s="244"/>
      <c r="E29" s="244"/>
    </row>
    <row r="30" spans="2:5" ht="15">
      <c r="B30" s="608"/>
      <c r="C30" s="608"/>
      <c r="D30" s="608"/>
      <c r="E30" s="608"/>
    </row>
    <row r="31" spans="2:5" ht="15">
      <c r="B31" s="608"/>
      <c r="C31" s="608"/>
      <c r="D31" s="608"/>
      <c r="E31" s="608"/>
    </row>
    <row r="35" ht="15" hidden="1">
      <c r="A35" s="242" t="s">
        <v>24</v>
      </c>
    </row>
    <row r="36" ht="15" hidden="1">
      <c r="A36" s="242" t="s">
        <v>15</v>
      </c>
    </row>
    <row r="37" ht="15" hidden="1">
      <c r="A37" s="242" t="s">
        <v>16</v>
      </c>
    </row>
  </sheetData>
  <sheetProtection algorithmName="SHA-512" hashValue="rSz8oDt82tHGADIVyq+MGqxlFYWPCfSk4iRo1g7vX8kIYqupidWFVBub6XTA8whSFKuGeWZ5D6t5ydB3yFBdJg==" saltValue="h2yLDLwrptzmMlbdIolxwQ==" spinCount="100000" sheet="1" selectLockedCells="1"/>
  <mergeCells count="4">
    <mergeCell ref="A6:E7"/>
    <mergeCell ref="C14:E14"/>
    <mergeCell ref="B30:E31"/>
    <mergeCell ref="D1:E5"/>
  </mergeCells>
  <conditionalFormatting sqref="D1">
    <cfRule type="cellIs" priority="1" dxfId="1" operator="equal">
      <formula>"Director eOrder"</formula>
    </cfRule>
    <cfRule type="cellIs" priority="2" dxfId="44" operator="equal">
      <formula>"Director eOrder"</formula>
    </cfRule>
    <cfRule type="cellIs" priority="3" dxfId="0" operator="equal">
      <formula>"Director eOrder"</formula>
    </cfRule>
    <cfRule type="containsText" priority="4" dxfId="0" operator="containsText" text="NextGen">
      <formula>NOT(ISERROR(SEARCH("NextGen",D1)))</formula>
    </cfRule>
  </conditionalFormatting>
  <pageMargins left="0.236220472440945" right="0.236220472440945" top="0.354330708661417" bottom="0.354330708661417" header="0.31496062992126" footer="0.31496062992126"/>
  <pageSetup horizontalDpi="300" verticalDpi="300" orientation="portrait" paperSize="9" r:id="rId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5A93-1D46-4FC5-8C92-64DBA5C18132}">
  <dimension ref="A1:R288"/>
  <sheetViews>
    <sheetView workbookViewId="0" topLeftCell="B1">
      <pane ySplit="11" topLeftCell="A12" activePane="bottomLeft" state="frozen"/>
      <selection pane="topLeft" activeCell="M49" sqref="M49"/>
      <selection pane="bottomLeft" activeCell="B35" sqref="B35"/>
    </sheetView>
  </sheetViews>
  <sheetFormatPr defaultRowHeight="12.75"/>
  <cols>
    <col min="1" max="1" width="0" style="305" hidden="1" customWidth="1"/>
    <col min="2" max="2" width="15.8571428571429" style="305" customWidth="1"/>
    <col min="3" max="3" width="35.4285714285714" style="305" customWidth="1"/>
    <col min="4" max="4" width="15.5714285714286" style="305" customWidth="1"/>
    <col min="5" max="5" width="1.14285714285714" style="305" customWidth="1"/>
    <col min="6" max="6" width="10.5714285714286" style="305" bestFit="1" customWidth="1"/>
    <col min="7" max="7" width="11.5714285714286" style="305" customWidth="1"/>
    <col min="8" max="8" width="13.1428571428571" style="305" customWidth="1"/>
    <col min="9" max="9" width="11.5714285714286" style="305" customWidth="1"/>
    <col min="10" max="10" width="10" style="305" bestFit="1" customWidth="1"/>
    <col min="11" max="11" width="11.1428571428571" style="305" customWidth="1"/>
    <col min="12" max="12" width="32.4285714285714" style="305" customWidth="1"/>
    <col min="13" max="13" width="17.5714285714286" style="305" customWidth="1"/>
    <col min="14" max="14" width="11.4285714285714" style="305" customWidth="1"/>
    <col min="15" max="15" width="22.4285714285714" style="305" customWidth="1"/>
    <col min="16" max="16" width="13.5714285714286" style="305" customWidth="1"/>
    <col min="17" max="17" width="10.4285714285714" style="305" bestFit="1" customWidth="1"/>
    <col min="18" max="16384" width="9.14285714285714" style="305"/>
  </cols>
  <sheetData>
    <row r="1" spans="1:15" s="351" customFormat="1" ht="51.75" customHeight="1">
      <c r="A1" s="350"/>
      <c r="B1" s="350"/>
      <c r="C1" s="350"/>
      <c r="D1" s="611" t="s">
        <v>350</v>
      </c>
      <c r="E1" s="611"/>
      <c r="F1" s="611"/>
      <c r="G1" s="611"/>
      <c r="H1" s="611"/>
      <c r="I1" s="611"/>
      <c r="J1" s="611"/>
      <c r="K1" s="611"/>
      <c r="L1" s="611"/>
      <c r="M1" s="611"/>
      <c r="N1" s="612" t="s">
        <v>468</v>
      </c>
      <c r="O1" s="612"/>
    </row>
    <row r="2" spans="1:15" ht="39.75" customHeight="1">
      <c r="A2" s="352"/>
      <c r="B2" s="352"/>
      <c r="C2" s="352"/>
      <c r="D2" s="613" t="s">
        <v>349</v>
      </c>
      <c r="E2" s="613"/>
      <c r="F2" s="613"/>
      <c r="G2" s="613"/>
      <c r="H2" s="613"/>
      <c r="I2" s="613"/>
      <c r="J2" s="613"/>
      <c r="K2" s="613"/>
      <c r="L2" s="613"/>
      <c r="M2" s="613"/>
      <c r="N2" s="612"/>
      <c r="O2" s="612"/>
    </row>
    <row r="3" spans="1:15" ht="16.35" customHeight="1">
      <c r="A3" s="353"/>
      <c r="B3" s="353"/>
      <c r="C3" s="353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</row>
    <row r="4" ht="16.35" customHeight="1">
      <c r="A4" s="353"/>
    </row>
    <row r="5" spans="2:12" ht="29.25" customHeight="1">
      <c r="B5" s="354" t="s">
        <v>348</v>
      </c>
      <c r="C5" s="618" t="s">
        <v>466</v>
      </c>
      <c r="D5" s="618"/>
      <c r="I5" s="619" t="s">
        <v>347</v>
      </c>
      <c r="J5" s="619"/>
      <c r="K5" s="618" t="b">
        <v>1</v>
      </c>
      <c r="L5" s="618"/>
    </row>
    <row r="6" spans="16:18" ht="23.25" customHeight="1">
      <c r="P6" s="355"/>
      <c r="R6" s="356"/>
    </row>
    <row r="7" spans="2:15" s="357" customFormat="1" ht="16.35" customHeight="1">
      <c r="B7" s="614" t="s">
        <v>346</v>
      </c>
      <c r="C7" s="614"/>
      <c r="D7" s="614"/>
      <c r="E7" s="359"/>
      <c r="F7" s="360" t="s">
        <v>345</v>
      </c>
      <c r="G7" s="358"/>
      <c r="H7" s="358"/>
      <c r="I7" s="358"/>
      <c r="J7" s="358"/>
      <c r="K7" s="358"/>
      <c r="L7" s="358"/>
      <c r="M7" s="358"/>
      <c r="N7" s="358"/>
      <c r="O7" s="358"/>
    </row>
    <row r="8" spans="2:15" s="361" customFormat="1" ht="65.1" customHeight="1">
      <c r="B8" s="615" t="s">
        <v>344</v>
      </c>
      <c r="C8" s="615"/>
      <c r="D8" s="615"/>
      <c r="E8" s="362"/>
      <c r="F8" s="616" t="s">
        <v>343</v>
      </c>
      <c r="G8" s="616"/>
      <c r="H8" s="616"/>
      <c r="I8" s="616"/>
      <c r="J8" s="616"/>
      <c r="K8" s="616"/>
      <c r="L8" s="617" t="s">
        <v>342</v>
      </c>
      <c r="M8" s="617"/>
      <c r="N8" s="617"/>
      <c r="O8" s="617"/>
    </row>
    <row r="9" spans="2:15" s="361" customFormat="1" ht="7.35" customHeight="1">
      <c r="B9" s="362"/>
      <c r="C9" s="362"/>
      <c r="D9" s="362"/>
      <c r="E9" s="362"/>
      <c r="F9" s="363"/>
      <c r="G9" s="363"/>
      <c r="H9" s="363"/>
      <c r="I9" s="363"/>
      <c r="J9" s="363"/>
      <c r="K9" s="363"/>
      <c r="L9" s="363"/>
      <c r="M9" s="363"/>
      <c r="N9" s="363"/>
      <c r="O9" s="363"/>
    </row>
    <row r="10" spans="2:15" s="317" customFormat="1" ht="31.35" customHeight="1">
      <c r="B10" s="457" t="s">
        <v>341</v>
      </c>
      <c r="C10" s="457" t="s">
        <v>2</v>
      </c>
      <c r="D10" s="457" t="s">
        <v>340</v>
      </c>
      <c r="F10" s="457" t="s">
        <v>339</v>
      </c>
      <c r="G10" s="457" t="s">
        <v>338</v>
      </c>
      <c r="H10" s="457" t="s">
        <v>337</v>
      </c>
      <c r="I10" s="457" t="s">
        <v>336</v>
      </c>
      <c r="J10" s="457" t="s">
        <v>335</v>
      </c>
      <c r="K10" s="457" t="s">
        <v>334</v>
      </c>
      <c r="L10" s="457" t="s">
        <v>333</v>
      </c>
      <c r="M10" s="457" t="s">
        <v>332</v>
      </c>
      <c r="N10" s="457" t="s">
        <v>331</v>
      </c>
      <c r="O10" s="457" t="s">
        <v>330</v>
      </c>
    </row>
    <row r="11" spans="2:15" s="317" customFormat="1" ht="31.35" customHeight="1" hidden="1">
      <c r="B11" s="458"/>
      <c r="C11" s="458"/>
      <c r="D11" s="458"/>
      <c r="E11" s="455"/>
      <c r="F11" s="458"/>
      <c r="G11" s="458"/>
      <c r="H11" s="458"/>
      <c r="I11" s="458"/>
      <c r="J11" s="458"/>
      <c r="K11" s="458"/>
      <c r="L11" s="458"/>
      <c r="M11" s="458"/>
      <c r="N11" s="458"/>
      <c r="O11" s="458"/>
    </row>
    <row r="12" spans="2:15" s="316" customFormat="1" ht="15.75" customHeight="1">
      <c r="B12" s="459" t="s">
        <v>320</v>
      </c>
      <c r="C12" s="459" t="s">
        <v>329</v>
      </c>
      <c r="D12" s="459" t="s">
        <v>328</v>
      </c>
      <c r="E12" s="456"/>
      <c r="F12" s="461" t="s">
        <v>327</v>
      </c>
      <c r="G12" s="461" t="s">
        <v>326</v>
      </c>
      <c r="H12" s="461" t="s">
        <v>325</v>
      </c>
      <c r="I12" s="461" t="s">
        <v>307</v>
      </c>
      <c r="J12" s="461" t="s">
        <v>324</v>
      </c>
      <c r="K12" s="461" t="s">
        <v>323</v>
      </c>
      <c r="L12" s="462" t="s">
        <v>322</v>
      </c>
      <c r="M12" s="461" t="s">
        <v>321</v>
      </c>
      <c r="N12" s="461" t="s">
        <v>320</v>
      </c>
      <c r="O12" s="461"/>
    </row>
    <row r="13" spans="2:15" s="308" customFormat="1" ht="15.75" customHeight="1">
      <c r="B13" s="459" t="s">
        <v>319</v>
      </c>
      <c r="C13" s="459" t="s">
        <v>318</v>
      </c>
      <c r="D13" s="459" t="s">
        <v>317</v>
      </c>
      <c r="E13" s="314"/>
      <c r="F13" s="463"/>
      <c r="G13" s="463"/>
      <c r="H13" s="463"/>
      <c r="I13" s="463"/>
      <c r="J13" s="463"/>
      <c r="K13" s="463"/>
      <c r="L13" s="463" t="s">
        <v>322</v>
      </c>
      <c r="M13" s="463"/>
      <c r="N13" s="463"/>
      <c r="O13" s="463"/>
    </row>
    <row r="14" spans="2:15" s="308" customFormat="1" ht="15.75" customHeight="1">
      <c r="B14" s="460"/>
      <c r="C14" s="460"/>
      <c r="D14" s="459" t="s">
        <v>316</v>
      </c>
      <c r="E14" s="314"/>
      <c r="F14" s="463"/>
      <c r="G14" s="463"/>
      <c r="H14" s="463"/>
      <c r="I14" s="463"/>
      <c r="J14" s="463"/>
      <c r="K14" s="463"/>
      <c r="L14" s="463"/>
      <c r="M14" s="463"/>
      <c r="N14" s="463"/>
      <c r="O14" s="463"/>
    </row>
    <row r="15" spans="2:15" s="308" customFormat="1" ht="15.75" customHeight="1">
      <c r="B15" s="460"/>
      <c r="C15" s="460"/>
      <c r="D15" s="460"/>
      <c r="E15" s="314"/>
      <c r="F15" s="463"/>
      <c r="G15" s="463"/>
      <c r="H15" s="463"/>
      <c r="I15" s="463"/>
      <c r="J15" s="463"/>
      <c r="K15" s="463"/>
      <c r="L15" s="463"/>
      <c r="M15" s="463"/>
      <c r="N15" s="463"/>
      <c r="O15" s="463"/>
    </row>
    <row r="16" spans="2:15" s="308" customFormat="1" ht="15.75" customHeight="1">
      <c r="B16" s="460"/>
      <c r="C16" s="460"/>
      <c r="D16" s="460"/>
      <c r="E16" s="314"/>
      <c r="F16" s="463"/>
      <c r="G16" s="463"/>
      <c r="H16" s="463"/>
      <c r="I16" s="463"/>
      <c r="J16" s="463"/>
      <c r="K16" s="463"/>
      <c r="L16" s="463"/>
      <c r="M16" s="463"/>
      <c r="N16" s="463"/>
      <c r="O16" s="463"/>
    </row>
    <row r="17" spans="2:15" s="308" customFormat="1" ht="15.75" customHeight="1">
      <c r="B17" s="460"/>
      <c r="C17" s="460"/>
      <c r="D17" s="460"/>
      <c r="E17" s="314"/>
      <c r="F17" s="463"/>
      <c r="G17" s="463"/>
      <c r="H17" s="463"/>
      <c r="I17" s="463"/>
      <c r="J17" s="463"/>
      <c r="K17" s="463"/>
      <c r="L17" s="463"/>
      <c r="M17" s="463"/>
      <c r="N17" s="463"/>
      <c r="O17" s="463"/>
    </row>
    <row r="18" spans="2:15" s="308" customFormat="1" ht="15.75" customHeight="1">
      <c r="B18" s="460"/>
      <c r="C18" s="460"/>
      <c r="D18" s="460"/>
      <c r="E18" s="314"/>
      <c r="F18" s="463"/>
      <c r="G18" s="463"/>
      <c r="H18" s="463"/>
      <c r="I18" s="463"/>
      <c r="J18" s="463"/>
      <c r="K18" s="463"/>
      <c r="L18" s="463"/>
      <c r="M18" s="463"/>
      <c r="N18" s="463"/>
      <c r="O18" s="463"/>
    </row>
    <row r="19" spans="2:15" s="308" customFormat="1" ht="15.75" customHeight="1">
      <c r="B19" s="460"/>
      <c r="C19" s="460"/>
      <c r="D19" s="460"/>
      <c r="E19" s="314"/>
      <c r="F19" s="463"/>
      <c r="G19" s="463"/>
      <c r="H19" s="463"/>
      <c r="I19" s="463"/>
      <c r="J19" s="463"/>
      <c r="K19" s="463"/>
      <c r="L19" s="463"/>
      <c r="M19" s="463"/>
      <c r="N19" s="463"/>
      <c r="O19" s="463"/>
    </row>
    <row r="20" spans="2:15" s="308" customFormat="1" ht="15.75" customHeight="1">
      <c r="B20" s="460"/>
      <c r="C20" s="460"/>
      <c r="D20" s="460"/>
      <c r="E20" s="314"/>
      <c r="F20" s="463"/>
      <c r="G20" s="463"/>
      <c r="H20" s="463"/>
      <c r="I20" s="463"/>
      <c r="J20" s="463"/>
      <c r="K20" s="463"/>
      <c r="L20" s="463"/>
      <c r="M20" s="463"/>
      <c r="N20" s="463"/>
      <c r="O20" s="463"/>
    </row>
    <row r="21" spans="2:15" s="308" customFormat="1" ht="15.75" customHeight="1">
      <c r="B21" s="460"/>
      <c r="C21" s="460"/>
      <c r="D21" s="460"/>
      <c r="E21" s="314"/>
      <c r="F21" s="463"/>
      <c r="G21" s="463"/>
      <c r="H21" s="463"/>
      <c r="I21" s="463"/>
      <c r="J21" s="463"/>
      <c r="K21" s="463"/>
      <c r="L21" s="463"/>
      <c r="M21" s="463"/>
      <c r="N21" s="463"/>
      <c r="O21" s="463"/>
    </row>
    <row r="22" spans="2:15" s="308" customFormat="1" ht="15.75" customHeight="1">
      <c r="B22" s="460"/>
      <c r="C22" s="460"/>
      <c r="D22" s="460"/>
      <c r="E22" s="314"/>
      <c r="F22" s="463"/>
      <c r="G22" s="463"/>
      <c r="H22" s="463"/>
      <c r="I22" s="463"/>
      <c r="J22" s="463"/>
      <c r="K22" s="463"/>
      <c r="L22" s="463"/>
      <c r="M22" s="463"/>
      <c r="N22" s="463"/>
      <c r="O22" s="463"/>
    </row>
    <row r="23" spans="2:15" s="308" customFormat="1" ht="15.75" customHeight="1">
      <c r="B23" s="460"/>
      <c r="C23" s="460"/>
      <c r="D23" s="460"/>
      <c r="E23" s="314"/>
      <c r="F23" s="463"/>
      <c r="G23" s="463"/>
      <c r="H23" s="463"/>
      <c r="I23" s="463"/>
      <c r="J23" s="463"/>
      <c r="K23" s="463"/>
      <c r="L23" s="463"/>
      <c r="M23" s="463"/>
      <c r="N23" s="463"/>
      <c r="O23" s="463"/>
    </row>
    <row r="24" spans="2:15" s="308" customFormat="1" ht="15.75" customHeight="1">
      <c r="B24" s="460"/>
      <c r="C24" s="460"/>
      <c r="D24" s="460"/>
      <c r="E24" s="314"/>
      <c r="F24" s="463"/>
      <c r="G24" s="463"/>
      <c r="H24" s="463"/>
      <c r="I24" s="463"/>
      <c r="J24" s="463"/>
      <c r="K24" s="463"/>
      <c r="L24" s="463"/>
      <c r="M24" s="463"/>
      <c r="N24" s="463"/>
      <c r="O24" s="463"/>
    </row>
    <row r="25" spans="2:15" s="308" customFormat="1" ht="15.75" customHeight="1">
      <c r="B25" s="460"/>
      <c r="C25" s="460"/>
      <c r="D25" s="460"/>
      <c r="E25" s="314"/>
      <c r="F25" s="463"/>
      <c r="G25" s="463"/>
      <c r="H25" s="463"/>
      <c r="I25" s="463"/>
      <c r="J25" s="463"/>
      <c r="K25" s="463"/>
      <c r="L25" s="463"/>
      <c r="M25" s="463"/>
      <c r="N25" s="463"/>
      <c r="O25" s="463"/>
    </row>
    <row r="26" spans="2:15" s="308" customFormat="1" ht="15.75" customHeight="1">
      <c r="B26" s="460"/>
      <c r="C26" s="460"/>
      <c r="D26" s="460"/>
      <c r="E26" s="314"/>
      <c r="F26" s="463"/>
      <c r="G26" s="463"/>
      <c r="H26" s="463"/>
      <c r="I26" s="463"/>
      <c r="J26" s="463"/>
      <c r="K26" s="463"/>
      <c r="L26" s="463"/>
      <c r="M26" s="463"/>
      <c r="N26" s="463"/>
      <c r="O26" s="463"/>
    </row>
    <row r="27" spans="2:15" s="308" customFormat="1" ht="15.75" customHeight="1">
      <c r="B27" s="460"/>
      <c r="C27" s="460"/>
      <c r="D27" s="460"/>
      <c r="E27" s="314"/>
      <c r="F27" s="463"/>
      <c r="G27" s="463"/>
      <c r="H27" s="463"/>
      <c r="I27" s="463"/>
      <c r="J27" s="463"/>
      <c r="K27" s="463"/>
      <c r="L27" s="463"/>
      <c r="M27" s="463"/>
      <c r="N27" s="463"/>
      <c r="O27" s="463"/>
    </row>
    <row r="28" spans="2:15" s="308" customFormat="1" ht="15.75" customHeight="1">
      <c r="B28" s="460"/>
      <c r="C28" s="460"/>
      <c r="D28" s="460"/>
      <c r="E28" s="314"/>
      <c r="F28" s="463"/>
      <c r="G28" s="463"/>
      <c r="H28" s="463"/>
      <c r="I28" s="463"/>
      <c r="J28" s="463"/>
      <c r="K28" s="463"/>
      <c r="L28" s="463"/>
      <c r="M28" s="463"/>
      <c r="N28" s="463"/>
      <c r="O28" s="463"/>
    </row>
    <row r="29" spans="2:15" s="308" customFormat="1" ht="15.75" customHeight="1">
      <c r="B29" s="460"/>
      <c r="C29" s="460"/>
      <c r="D29" s="460"/>
      <c r="E29" s="314"/>
      <c r="F29" s="463"/>
      <c r="G29" s="463"/>
      <c r="H29" s="463"/>
      <c r="I29" s="463"/>
      <c r="J29" s="463"/>
      <c r="K29" s="463"/>
      <c r="L29" s="463"/>
      <c r="M29" s="463"/>
      <c r="N29" s="463"/>
      <c r="O29" s="463"/>
    </row>
    <row r="30" spans="2:15" s="308" customFormat="1" ht="15.75" customHeight="1">
      <c r="B30" s="460"/>
      <c r="C30" s="460"/>
      <c r="D30" s="460"/>
      <c r="E30" s="314"/>
      <c r="F30" s="463"/>
      <c r="G30" s="463"/>
      <c r="H30" s="463"/>
      <c r="I30" s="463"/>
      <c r="J30" s="463"/>
      <c r="K30" s="463"/>
      <c r="L30" s="463"/>
      <c r="M30" s="463"/>
      <c r="N30" s="463"/>
      <c r="O30" s="463"/>
    </row>
    <row r="31" spans="2:15" s="308" customFormat="1" ht="15.75" customHeight="1">
      <c r="B31" s="460"/>
      <c r="C31" s="460"/>
      <c r="D31" s="460"/>
      <c r="E31" s="314"/>
      <c r="F31" s="314"/>
      <c r="G31" s="314"/>
      <c r="H31" s="314"/>
      <c r="I31" s="314"/>
      <c r="J31" s="314"/>
      <c r="K31" s="314"/>
      <c r="L31" s="314"/>
      <c r="M31" s="314"/>
      <c r="N31" s="314"/>
      <c r="O31" s="314"/>
    </row>
    <row r="32" spans="2:15" s="308" customFormat="1" ht="15.75" customHeight="1">
      <c r="B32" s="460"/>
      <c r="C32" s="460"/>
      <c r="D32" s="460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</row>
    <row r="33" spans="2:15" s="308" customFormat="1" ht="15.75" customHeight="1">
      <c r="B33" s="460"/>
      <c r="C33" s="460"/>
      <c r="D33" s="460"/>
      <c r="E33" s="314"/>
      <c r="F33" s="314"/>
      <c r="G33" s="314"/>
      <c r="H33" s="314"/>
      <c r="I33" s="314"/>
      <c r="J33" s="314"/>
      <c r="K33" s="314"/>
      <c r="L33" s="314"/>
      <c r="M33" s="314"/>
      <c r="N33" s="314"/>
      <c r="O33" s="314"/>
    </row>
    <row r="34" spans="2:4" s="308" customFormat="1" ht="15.75" customHeight="1">
      <c r="B34" s="313"/>
      <c r="C34" s="313"/>
      <c r="D34" s="313"/>
    </row>
    <row r="35" spans="2:4" s="308" customFormat="1" ht="15.75" customHeight="1">
      <c r="B35" s="311" t="s">
        <v>315</v>
      </c>
      <c r="C35" s="313"/>
      <c r="D35" s="313"/>
    </row>
    <row r="36" spans="2:4" s="308" customFormat="1" ht="15.75" customHeight="1">
      <c r="B36" s="313"/>
      <c r="C36" s="313"/>
      <c r="D36" s="313"/>
    </row>
    <row r="37" s="308" customFormat="1" ht="15.75" customHeight="1"/>
    <row r="38" s="308" customFormat="1" ht="15.75" customHeight="1">
      <c r="B38" s="312"/>
    </row>
    <row r="39" s="308" customFormat="1" ht="15.75" customHeight="1"/>
    <row r="40" s="308" customFormat="1" ht="15.75" customHeight="1"/>
    <row r="41" s="308" customFormat="1" ht="15.75" customHeight="1">
      <c r="A41" s="308" t="s">
        <v>309</v>
      </c>
    </row>
    <row r="42" s="308" customFormat="1" ht="15.75" customHeight="1">
      <c r="A42" s="308" t="s">
        <v>56</v>
      </c>
    </row>
    <row r="43" s="308" customFormat="1" ht="15.75" customHeight="1">
      <c r="A43" s="308" t="s">
        <v>57</v>
      </c>
    </row>
    <row r="44" s="308" customFormat="1" ht="15.75" customHeight="1">
      <c r="A44" s="308" t="s">
        <v>314</v>
      </c>
    </row>
    <row r="45" s="308" customFormat="1" ht="15.75" customHeight="1">
      <c r="A45" s="308" t="s">
        <v>313</v>
      </c>
    </row>
    <row r="46" s="308" customFormat="1" ht="15.75" customHeight="1">
      <c r="A46" s="308" t="s">
        <v>312</v>
      </c>
    </row>
    <row r="47" s="308" customFormat="1" ht="15.75" customHeight="1">
      <c r="A47" s="308" t="s">
        <v>311</v>
      </c>
    </row>
    <row r="48" s="308" customFormat="1" ht="15.75" customHeight="1">
      <c r="A48" s="308" t="s">
        <v>310</v>
      </c>
    </row>
    <row r="49" s="308" customFormat="1" ht="15.75" customHeight="1"/>
    <row r="50" s="308" customFormat="1" ht="15.75" customHeight="1">
      <c r="A50" s="308" t="s">
        <v>309</v>
      </c>
    </row>
    <row r="51" s="308" customFormat="1" ht="15.75" customHeight="1">
      <c r="A51" s="308" t="s">
        <v>308</v>
      </c>
    </row>
    <row r="52" s="308" customFormat="1" ht="15.75" customHeight="1">
      <c r="A52" s="308" t="s">
        <v>307</v>
      </c>
    </row>
    <row r="53" s="308" customFormat="1" ht="15.75" customHeight="1">
      <c r="A53" s="308" t="s">
        <v>306</v>
      </c>
    </row>
    <row r="54" s="308" customFormat="1" ht="15.75" customHeight="1">
      <c r="A54" s="308" t="s">
        <v>305</v>
      </c>
    </row>
    <row r="55" s="308" customFormat="1" ht="15.75" customHeight="1">
      <c r="A55" s="308" t="s">
        <v>304</v>
      </c>
    </row>
    <row r="56" s="308" customFormat="1" ht="15.75" customHeight="1">
      <c r="A56" s="308" t="s">
        <v>303</v>
      </c>
    </row>
    <row r="57" s="308" customFormat="1" ht="15.75" customHeight="1">
      <c r="A57" s="308" t="s">
        <v>302</v>
      </c>
    </row>
    <row r="58" s="308" customFormat="1" ht="15.75" customHeight="1">
      <c r="A58" s="308" t="s">
        <v>301</v>
      </c>
    </row>
    <row r="59" s="308" customFormat="1" ht="15.75" customHeight="1"/>
    <row r="60" s="308" customFormat="1" ht="15.75" customHeight="1"/>
    <row r="61" s="308" customFormat="1" ht="15.75" customHeight="1"/>
    <row r="62" s="308" customFormat="1" ht="15.75" customHeight="1"/>
    <row r="63" s="308" customFormat="1" ht="15.75" customHeight="1">
      <c r="C63" s="305"/>
    </row>
    <row r="64" s="308" customFormat="1" ht="15.75" customHeight="1"/>
    <row r="65" s="308" customFormat="1" ht="15.75" customHeight="1"/>
    <row r="66" s="308" customFormat="1" ht="15.75" customHeight="1"/>
    <row r="67" s="308" customFormat="1" ht="15.75" customHeight="1"/>
    <row r="68" s="308" customFormat="1" ht="15.75" customHeight="1"/>
    <row r="69" s="308" customFormat="1" ht="15.75" customHeight="1"/>
    <row r="70" s="308" customFormat="1" ht="15.75" customHeight="1"/>
    <row r="71" s="308" customFormat="1" ht="15.75" customHeight="1"/>
    <row r="72" s="308" customFormat="1" ht="15.75" customHeight="1"/>
    <row r="73" s="308" customFormat="1" ht="15.75" customHeight="1"/>
    <row r="74" s="308" customFormat="1" ht="15.75" customHeight="1"/>
    <row r="75" s="308" customFormat="1" ht="15.75" customHeight="1"/>
    <row r="76" s="308" customFormat="1" ht="15.75" customHeight="1"/>
    <row r="77" s="308" customFormat="1" ht="15.75" customHeight="1"/>
    <row r="78" s="308" customFormat="1" ht="15.75" customHeight="1"/>
    <row r="79" spans="7:14" s="308" customFormat="1" ht="15.75" customHeight="1">
      <c r="G79" s="310"/>
      <c r="J79" s="310"/>
      <c r="M79" s="310"/>
      <c r="N79" s="310"/>
    </row>
    <row r="80" spans="7:14" s="308" customFormat="1" ht="15.75" customHeight="1">
      <c r="G80" s="310"/>
      <c r="J80" s="310"/>
      <c r="M80" s="310"/>
      <c r="N80" s="310"/>
    </row>
    <row r="81" spans="7:14" s="308" customFormat="1" ht="15.75" customHeight="1">
      <c r="G81" s="310"/>
      <c r="J81" s="310"/>
      <c r="M81" s="310"/>
      <c r="N81" s="310"/>
    </row>
    <row r="82" spans="7:14" s="308" customFormat="1" ht="15.75" customHeight="1">
      <c r="G82" s="310"/>
      <c r="J82" s="310"/>
      <c r="M82" s="310"/>
      <c r="N82" s="310"/>
    </row>
    <row r="83" spans="7:14" s="308" customFormat="1" ht="15.75" customHeight="1">
      <c r="G83" s="310"/>
      <c r="J83" s="310"/>
      <c r="M83" s="310"/>
      <c r="N83" s="310"/>
    </row>
    <row r="84" spans="7:14" s="308" customFormat="1" ht="15.75" customHeight="1">
      <c r="G84" s="310"/>
      <c r="J84" s="310"/>
      <c r="M84" s="310"/>
      <c r="N84" s="310"/>
    </row>
    <row r="85" spans="7:14" s="308" customFormat="1" ht="15.75" customHeight="1">
      <c r="G85" s="310"/>
      <c r="J85" s="310"/>
      <c r="M85" s="310"/>
      <c r="N85" s="310"/>
    </row>
    <row r="86" spans="7:14" s="308" customFormat="1" ht="15.75" customHeight="1">
      <c r="G86" s="310"/>
      <c r="J86" s="310"/>
      <c r="M86" s="310"/>
      <c r="N86" s="310"/>
    </row>
    <row r="87" spans="7:14" s="308" customFormat="1" ht="15.75" customHeight="1">
      <c r="G87" s="310"/>
      <c r="J87" s="310"/>
      <c r="M87" s="310"/>
      <c r="N87" s="310"/>
    </row>
    <row r="88" spans="7:14" s="308" customFormat="1" ht="15.75" customHeight="1">
      <c r="G88" s="310"/>
      <c r="J88" s="310"/>
      <c r="M88" s="310"/>
      <c r="N88" s="310"/>
    </row>
    <row r="89" spans="7:14" s="308" customFormat="1" ht="15.75" customHeight="1">
      <c r="G89" s="310"/>
      <c r="J89" s="310"/>
      <c r="M89" s="310"/>
      <c r="N89" s="310"/>
    </row>
    <row r="90" spans="7:14" s="308" customFormat="1" ht="15.75" customHeight="1">
      <c r="G90" s="310"/>
      <c r="J90" s="310"/>
      <c r="M90" s="310"/>
      <c r="N90" s="310"/>
    </row>
    <row r="91" spans="7:14" s="308" customFormat="1" ht="15.75" customHeight="1">
      <c r="G91" s="310"/>
      <c r="J91" s="310"/>
      <c r="M91" s="310"/>
      <c r="N91" s="310"/>
    </row>
    <row r="92" spans="7:14" s="308" customFormat="1" ht="15.75" customHeight="1">
      <c r="G92" s="310"/>
      <c r="J92" s="310"/>
      <c r="M92" s="310"/>
      <c r="N92" s="310"/>
    </row>
    <row r="93" spans="7:14" s="308" customFormat="1" ht="15.75" customHeight="1">
      <c r="G93" s="310"/>
      <c r="J93" s="310"/>
      <c r="M93" s="310"/>
      <c r="N93" s="310"/>
    </row>
    <row r="94" spans="7:14" s="308" customFormat="1" ht="15.75" customHeight="1">
      <c r="G94" s="310"/>
      <c r="J94" s="310"/>
      <c r="M94" s="310"/>
      <c r="N94" s="310"/>
    </row>
    <row r="95" spans="7:14" s="308" customFormat="1" ht="15.75" customHeight="1">
      <c r="G95" s="310"/>
      <c r="J95" s="310"/>
      <c r="M95" s="310"/>
      <c r="N95" s="310"/>
    </row>
    <row r="96" spans="7:14" s="308" customFormat="1" ht="15.75" customHeight="1">
      <c r="G96" s="310"/>
      <c r="J96" s="310"/>
      <c r="M96" s="310"/>
      <c r="N96" s="310"/>
    </row>
    <row r="97" spans="7:14" s="308" customFormat="1" ht="15.75" customHeight="1">
      <c r="G97" s="310"/>
      <c r="J97" s="310"/>
      <c r="M97" s="310"/>
      <c r="N97" s="310"/>
    </row>
    <row r="98" spans="7:14" s="308" customFormat="1" ht="15.75" customHeight="1">
      <c r="G98" s="310"/>
      <c r="J98" s="310"/>
      <c r="M98" s="310"/>
      <c r="N98" s="310"/>
    </row>
    <row r="99" spans="7:14" s="308" customFormat="1" ht="15.75" customHeight="1">
      <c r="G99" s="310"/>
      <c r="J99" s="310"/>
      <c r="M99" s="310"/>
      <c r="N99" s="310"/>
    </row>
    <row r="100" spans="7:14" s="308" customFormat="1" ht="15.75" customHeight="1">
      <c r="G100" s="310"/>
      <c r="J100" s="310"/>
      <c r="M100" s="310"/>
      <c r="N100" s="310"/>
    </row>
    <row r="101" spans="7:14" s="308" customFormat="1" ht="15.75" customHeight="1">
      <c r="G101" s="310"/>
      <c r="J101" s="310"/>
      <c r="M101" s="310"/>
      <c r="N101" s="310"/>
    </row>
    <row r="102" spans="7:14" s="308" customFormat="1" ht="15.75" customHeight="1">
      <c r="G102" s="310"/>
      <c r="J102" s="310"/>
      <c r="M102" s="310"/>
      <c r="N102" s="310"/>
    </row>
    <row r="103" spans="7:14" s="308" customFormat="1" ht="15.75" customHeight="1">
      <c r="G103" s="310"/>
      <c r="J103" s="310"/>
      <c r="M103" s="310"/>
      <c r="N103" s="310"/>
    </row>
    <row r="104" spans="7:14" s="308" customFormat="1" ht="15.75" customHeight="1">
      <c r="G104" s="310"/>
      <c r="J104" s="310"/>
      <c r="M104" s="310"/>
      <c r="N104" s="310"/>
    </row>
    <row r="105" spans="7:14" s="308" customFormat="1" ht="15.75" customHeight="1">
      <c r="G105" s="310"/>
      <c r="J105" s="310"/>
      <c r="M105" s="310"/>
      <c r="N105" s="310"/>
    </row>
    <row r="106" spans="7:14" s="308" customFormat="1" ht="15.75" customHeight="1">
      <c r="G106" s="310"/>
      <c r="J106" s="310"/>
      <c r="M106" s="310"/>
      <c r="N106" s="310"/>
    </row>
    <row r="107" spans="7:14" s="308" customFormat="1" ht="15.75" customHeight="1">
      <c r="G107" s="310"/>
      <c r="J107" s="310"/>
      <c r="M107" s="310"/>
      <c r="N107" s="310"/>
    </row>
    <row r="108" spans="7:14" s="308" customFormat="1" ht="15.75" customHeight="1">
      <c r="G108" s="310"/>
      <c r="J108" s="310"/>
      <c r="M108" s="310"/>
      <c r="N108" s="310"/>
    </row>
    <row r="109" spans="7:14" s="308" customFormat="1" ht="15.75" customHeight="1">
      <c r="G109" s="310"/>
      <c r="J109" s="310"/>
      <c r="M109" s="310"/>
      <c r="N109" s="310"/>
    </row>
    <row r="110" spans="7:14" s="308" customFormat="1" ht="15.75" customHeight="1">
      <c r="G110" s="310"/>
      <c r="J110" s="310"/>
      <c r="M110" s="310"/>
      <c r="N110" s="310"/>
    </row>
    <row r="111" spans="7:14" s="308" customFormat="1" ht="15.75" customHeight="1">
      <c r="G111" s="310"/>
      <c r="J111" s="310"/>
      <c r="M111" s="310"/>
      <c r="N111" s="310"/>
    </row>
    <row r="112" spans="7:14" s="308" customFormat="1" ht="15.75" customHeight="1">
      <c r="G112" s="310"/>
      <c r="J112" s="310"/>
      <c r="M112" s="310"/>
      <c r="N112" s="310"/>
    </row>
    <row r="113" spans="7:14" s="308" customFormat="1" ht="15.75" customHeight="1">
      <c r="G113" s="310"/>
      <c r="J113" s="310"/>
      <c r="M113" s="310"/>
      <c r="N113" s="310"/>
    </row>
    <row r="114" spans="7:14" s="308" customFormat="1" ht="15.75" customHeight="1">
      <c r="G114" s="310"/>
      <c r="J114" s="310"/>
      <c r="M114" s="310"/>
      <c r="N114" s="310"/>
    </row>
    <row r="115" spans="7:14" s="308" customFormat="1" ht="15.75" customHeight="1">
      <c r="G115" s="310"/>
      <c r="J115" s="310"/>
      <c r="M115" s="310"/>
      <c r="N115" s="310"/>
    </row>
    <row r="116" spans="7:14" s="308" customFormat="1" ht="15.75" customHeight="1">
      <c r="G116" s="310"/>
      <c r="J116" s="310"/>
      <c r="M116" s="310"/>
      <c r="N116" s="310"/>
    </row>
    <row r="117" spans="7:14" s="308" customFormat="1" ht="15.75" customHeight="1">
      <c r="G117" s="310"/>
      <c r="J117" s="310"/>
      <c r="M117" s="310"/>
      <c r="N117" s="310"/>
    </row>
    <row r="118" spans="7:14" s="308" customFormat="1" ht="15.75" customHeight="1">
      <c r="G118" s="310"/>
      <c r="J118" s="310"/>
      <c r="M118" s="310"/>
      <c r="N118" s="310"/>
    </row>
    <row r="119" spans="7:14" s="308" customFormat="1" ht="15.75" customHeight="1">
      <c r="G119" s="310"/>
      <c r="J119" s="310"/>
      <c r="M119" s="310"/>
      <c r="N119" s="310"/>
    </row>
    <row r="120" spans="7:14" s="308" customFormat="1" ht="15.75" customHeight="1">
      <c r="G120" s="310"/>
      <c r="J120" s="310"/>
      <c r="M120" s="310"/>
      <c r="N120" s="310"/>
    </row>
    <row r="121" spans="7:14" s="308" customFormat="1" ht="15.75" customHeight="1">
      <c r="G121" s="310"/>
      <c r="J121" s="310"/>
      <c r="M121" s="310"/>
      <c r="N121" s="310"/>
    </row>
    <row r="122" spans="7:14" s="308" customFormat="1" ht="15.75" customHeight="1">
      <c r="G122" s="310"/>
      <c r="J122" s="310"/>
      <c r="M122" s="310"/>
      <c r="N122" s="310"/>
    </row>
    <row r="123" spans="7:14" s="308" customFormat="1" ht="15.75" customHeight="1">
      <c r="G123" s="310"/>
      <c r="J123" s="310"/>
      <c r="M123" s="310"/>
      <c r="N123" s="310"/>
    </row>
    <row r="124" spans="7:14" s="308" customFormat="1" ht="15.75" customHeight="1">
      <c r="G124" s="310"/>
      <c r="J124" s="310"/>
      <c r="M124" s="310"/>
      <c r="N124" s="310"/>
    </row>
    <row r="125" spans="7:14" s="308" customFormat="1" ht="15.75" customHeight="1">
      <c r="G125" s="310"/>
      <c r="J125" s="310"/>
      <c r="M125" s="310"/>
      <c r="N125" s="310"/>
    </row>
    <row r="126" spans="7:14" s="308" customFormat="1" ht="15.75" customHeight="1">
      <c r="G126" s="310"/>
      <c r="J126" s="310"/>
      <c r="M126" s="310"/>
      <c r="N126" s="310"/>
    </row>
    <row r="127" spans="7:14" s="308" customFormat="1" ht="15.75" customHeight="1">
      <c r="G127" s="310"/>
      <c r="J127" s="310"/>
      <c r="M127" s="310"/>
      <c r="N127" s="310"/>
    </row>
    <row r="128" spans="7:14" s="308" customFormat="1" ht="15.75" customHeight="1">
      <c r="G128" s="310"/>
      <c r="J128" s="310"/>
      <c r="M128" s="310"/>
      <c r="N128" s="310"/>
    </row>
    <row r="129" spans="7:14" s="308" customFormat="1" ht="15.75" customHeight="1">
      <c r="G129" s="310"/>
      <c r="J129" s="310"/>
      <c r="M129" s="310"/>
      <c r="N129" s="310"/>
    </row>
    <row r="130" spans="7:14" s="308" customFormat="1" ht="15.75" customHeight="1">
      <c r="G130" s="310"/>
      <c r="J130" s="310"/>
      <c r="M130" s="310"/>
      <c r="N130" s="310"/>
    </row>
    <row r="131" spans="7:14" s="308" customFormat="1" ht="15.75" customHeight="1">
      <c r="G131" s="310"/>
      <c r="J131" s="310"/>
      <c r="M131" s="310"/>
      <c r="N131" s="310"/>
    </row>
    <row r="132" spans="7:14" s="308" customFormat="1" ht="15.75" customHeight="1">
      <c r="G132" s="310"/>
      <c r="J132" s="310"/>
      <c r="M132" s="310"/>
      <c r="N132" s="310"/>
    </row>
    <row r="133" spans="7:14" s="308" customFormat="1" ht="15.75" customHeight="1">
      <c r="G133" s="310"/>
      <c r="J133" s="310"/>
      <c r="M133" s="310"/>
      <c r="N133" s="310"/>
    </row>
    <row r="134" spans="7:14" s="308" customFormat="1" ht="15.75" customHeight="1">
      <c r="G134" s="310"/>
      <c r="J134" s="310"/>
      <c r="M134" s="310"/>
      <c r="N134" s="310"/>
    </row>
    <row r="135" spans="7:14" s="308" customFormat="1" ht="15.75" customHeight="1">
      <c r="G135" s="310"/>
      <c r="J135" s="310"/>
      <c r="M135" s="310"/>
      <c r="N135" s="310"/>
    </row>
    <row r="136" spans="7:14" s="308" customFormat="1" ht="15.75" customHeight="1">
      <c r="G136" s="310"/>
      <c r="J136" s="310"/>
      <c r="M136" s="310"/>
      <c r="N136" s="310"/>
    </row>
    <row r="137" spans="7:14" s="308" customFormat="1" ht="15.75" customHeight="1">
      <c r="G137" s="310"/>
      <c r="J137" s="310"/>
      <c r="M137" s="310"/>
      <c r="N137" s="310"/>
    </row>
    <row r="138" spans="7:14" s="308" customFormat="1" ht="15.75" customHeight="1">
      <c r="G138" s="310"/>
      <c r="J138" s="310"/>
      <c r="M138" s="310"/>
      <c r="N138" s="310"/>
    </row>
    <row r="139" spans="7:14" s="308" customFormat="1" ht="15.75" customHeight="1">
      <c r="G139" s="310"/>
      <c r="J139" s="310"/>
      <c r="M139" s="310"/>
      <c r="N139" s="310"/>
    </row>
    <row r="140" spans="7:14" s="308" customFormat="1" ht="15.75" customHeight="1">
      <c r="G140" s="310"/>
      <c r="J140" s="310"/>
      <c r="M140" s="310"/>
      <c r="N140" s="310"/>
    </row>
    <row r="141" spans="7:14" s="308" customFormat="1" ht="15.75" customHeight="1">
      <c r="G141" s="310"/>
      <c r="J141" s="310"/>
      <c r="M141" s="310"/>
      <c r="N141" s="310"/>
    </row>
    <row r="142" spans="7:14" s="308" customFormat="1" ht="15.75" customHeight="1">
      <c r="G142" s="310"/>
      <c r="J142" s="310"/>
      <c r="M142" s="310"/>
      <c r="N142" s="310"/>
    </row>
    <row r="143" spans="7:14" s="308" customFormat="1" ht="15.75" customHeight="1">
      <c r="G143" s="310"/>
      <c r="J143" s="310"/>
      <c r="M143" s="310"/>
      <c r="N143" s="310"/>
    </row>
    <row r="144" spans="7:14" s="308" customFormat="1" ht="15.75" customHeight="1">
      <c r="G144" s="310"/>
      <c r="J144" s="310"/>
      <c r="M144" s="310"/>
      <c r="N144" s="310"/>
    </row>
    <row r="145" spans="7:14" s="308" customFormat="1" ht="15.75" customHeight="1">
      <c r="G145" s="310"/>
      <c r="J145" s="310"/>
      <c r="M145" s="310"/>
      <c r="N145" s="310"/>
    </row>
    <row r="146" spans="7:14" s="308" customFormat="1" ht="15.75" customHeight="1">
      <c r="G146" s="310"/>
      <c r="J146" s="310"/>
      <c r="M146" s="310"/>
      <c r="N146" s="310"/>
    </row>
    <row r="147" spans="7:14" s="308" customFormat="1" ht="15.75" customHeight="1">
      <c r="G147" s="310"/>
      <c r="J147" s="310"/>
      <c r="M147" s="310"/>
      <c r="N147" s="310"/>
    </row>
    <row r="148" spans="7:14" s="308" customFormat="1" ht="15.75" customHeight="1">
      <c r="G148" s="310"/>
      <c r="J148" s="310"/>
      <c r="M148" s="310"/>
      <c r="N148" s="310"/>
    </row>
    <row r="149" spans="7:14" s="308" customFormat="1" ht="15.75" customHeight="1">
      <c r="G149" s="310"/>
      <c r="J149" s="310"/>
      <c r="M149" s="310"/>
      <c r="N149" s="310"/>
    </row>
    <row r="150" spans="7:14" s="308" customFormat="1" ht="15.75" customHeight="1">
      <c r="G150" s="310"/>
      <c r="J150" s="310"/>
      <c r="M150" s="310"/>
      <c r="N150" s="310"/>
    </row>
    <row r="151" spans="7:14" s="308" customFormat="1" ht="15.75" customHeight="1">
      <c r="G151" s="310"/>
      <c r="J151" s="310"/>
      <c r="M151" s="310"/>
      <c r="N151" s="310"/>
    </row>
    <row r="152" spans="7:14" s="308" customFormat="1" ht="15.75" customHeight="1">
      <c r="G152" s="310"/>
      <c r="J152" s="310"/>
      <c r="M152" s="310"/>
      <c r="N152" s="310"/>
    </row>
    <row r="153" spans="7:14" s="308" customFormat="1" ht="15.75" customHeight="1">
      <c r="G153" s="310"/>
      <c r="J153" s="310"/>
      <c r="M153" s="310"/>
      <c r="N153" s="310"/>
    </row>
    <row r="154" spans="7:14" s="308" customFormat="1" ht="15.75" customHeight="1">
      <c r="G154" s="310"/>
      <c r="J154" s="310"/>
      <c r="M154" s="310"/>
      <c r="N154" s="310"/>
    </row>
    <row r="155" spans="7:14" s="308" customFormat="1" ht="15.75" customHeight="1">
      <c r="G155" s="310"/>
      <c r="J155" s="310"/>
      <c r="M155" s="310"/>
      <c r="N155" s="310"/>
    </row>
    <row r="156" spans="7:14" s="308" customFormat="1" ht="15.75" customHeight="1">
      <c r="G156" s="310"/>
      <c r="J156" s="310"/>
      <c r="M156" s="310"/>
      <c r="N156" s="310"/>
    </row>
    <row r="157" spans="7:14" s="308" customFormat="1" ht="15.75" customHeight="1">
      <c r="G157" s="310"/>
      <c r="J157" s="310"/>
      <c r="M157" s="310"/>
      <c r="N157" s="310"/>
    </row>
    <row r="158" spans="7:14" s="308" customFormat="1" ht="15.75" customHeight="1">
      <c r="G158" s="310"/>
      <c r="J158" s="310"/>
      <c r="M158" s="310"/>
      <c r="N158" s="310"/>
    </row>
    <row r="159" spans="7:14" s="308" customFormat="1" ht="15.75" customHeight="1">
      <c r="G159" s="310"/>
      <c r="J159" s="310"/>
      <c r="M159" s="310"/>
      <c r="N159" s="310"/>
    </row>
    <row r="160" spans="7:14" s="308" customFormat="1" ht="15.75" customHeight="1">
      <c r="G160" s="310"/>
      <c r="J160" s="310"/>
      <c r="M160" s="310"/>
      <c r="N160" s="310"/>
    </row>
    <row r="161" spans="7:14" s="308" customFormat="1" ht="15.75" customHeight="1">
      <c r="G161" s="310"/>
      <c r="J161" s="310"/>
      <c r="M161" s="310"/>
      <c r="N161" s="310"/>
    </row>
    <row r="162" spans="7:14" s="308" customFormat="1" ht="15.75" customHeight="1">
      <c r="G162" s="310"/>
      <c r="J162" s="310"/>
      <c r="M162" s="310"/>
      <c r="N162" s="310"/>
    </row>
    <row r="163" spans="7:14" s="308" customFormat="1" ht="15.75" customHeight="1">
      <c r="G163" s="310"/>
      <c r="J163" s="310"/>
      <c r="M163" s="310"/>
      <c r="N163" s="310"/>
    </row>
    <row r="164" spans="7:14" s="308" customFormat="1" ht="15.75" customHeight="1">
      <c r="G164" s="310"/>
      <c r="J164" s="310"/>
      <c r="M164" s="310"/>
      <c r="N164" s="310"/>
    </row>
    <row r="165" spans="7:14" s="308" customFormat="1" ht="15.75" customHeight="1">
      <c r="G165" s="310"/>
      <c r="J165" s="310"/>
      <c r="M165" s="310"/>
      <c r="N165" s="310"/>
    </row>
    <row r="166" spans="7:14" s="308" customFormat="1" ht="15.75" customHeight="1">
      <c r="G166" s="310"/>
      <c r="J166" s="310"/>
      <c r="M166" s="310"/>
      <c r="N166" s="310"/>
    </row>
    <row r="167" spans="7:14" s="308" customFormat="1" ht="15.75" customHeight="1">
      <c r="G167" s="310"/>
      <c r="J167" s="310"/>
      <c r="M167" s="310"/>
      <c r="N167" s="310"/>
    </row>
    <row r="168" spans="7:14" s="308" customFormat="1" ht="15.75" customHeight="1">
      <c r="G168" s="310"/>
      <c r="J168" s="310"/>
      <c r="M168" s="310"/>
      <c r="N168" s="310"/>
    </row>
    <row r="169" spans="7:14" s="308" customFormat="1" ht="15.75" customHeight="1">
      <c r="G169" s="310"/>
      <c r="J169" s="310"/>
      <c r="M169" s="310"/>
      <c r="N169" s="310"/>
    </row>
    <row r="170" spans="7:14" s="308" customFormat="1" ht="15.75" customHeight="1">
      <c r="G170" s="310"/>
      <c r="J170" s="310"/>
      <c r="M170" s="310"/>
      <c r="N170" s="310"/>
    </row>
    <row r="171" spans="7:14" s="308" customFormat="1" ht="15.75" customHeight="1">
      <c r="G171" s="310"/>
      <c r="J171" s="310"/>
      <c r="M171" s="310"/>
      <c r="N171" s="310"/>
    </row>
    <row r="172" spans="7:14" s="308" customFormat="1" ht="15.75" customHeight="1">
      <c r="G172" s="310"/>
      <c r="J172" s="310"/>
      <c r="M172" s="310"/>
      <c r="N172" s="310"/>
    </row>
    <row r="173" spans="7:14" s="308" customFormat="1" ht="15.75" customHeight="1">
      <c r="G173" s="310"/>
      <c r="J173" s="310"/>
      <c r="M173" s="310"/>
      <c r="N173" s="310"/>
    </row>
    <row r="174" spans="7:14" s="308" customFormat="1" ht="15.75" customHeight="1">
      <c r="G174" s="310"/>
      <c r="J174" s="310"/>
      <c r="M174" s="310"/>
      <c r="N174" s="310"/>
    </row>
    <row r="175" spans="7:14" s="308" customFormat="1" ht="15.75" customHeight="1">
      <c r="G175" s="310"/>
      <c r="J175" s="310"/>
      <c r="M175" s="310"/>
      <c r="N175" s="310"/>
    </row>
    <row r="176" spans="7:14" s="308" customFormat="1" ht="15.75" customHeight="1">
      <c r="G176" s="310"/>
      <c r="J176" s="310"/>
      <c r="M176" s="310"/>
      <c r="N176" s="310"/>
    </row>
    <row r="177" spans="7:14" s="308" customFormat="1" ht="15.75" customHeight="1">
      <c r="G177" s="310"/>
      <c r="J177" s="310"/>
      <c r="M177" s="310"/>
      <c r="N177" s="310"/>
    </row>
    <row r="178" spans="7:14" s="308" customFormat="1" ht="15.75" customHeight="1">
      <c r="G178" s="310"/>
      <c r="J178" s="310"/>
      <c r="M178" s="310"/>
      <c r="N178" s="310"/>
    </row>
    <row r="179" spans="7:14" s="308" customFormat="1" ht="15.75" customHeight="1">
      <c r="G179" s="310"/>
      <c r="J179" s="310"/>
      <c r="M179" s="310"/>
      <c r="N179" s="310"/>
    </row>
    <row r="180" spans="7:14" s="308" customFormat="1" ht="15.75" customHeight="1">
      <c r="G180" s="310"/>
      <c r="J180" s="310"/>
      <c r="M180" s="310"/>
      <c r="N180" s="310"/>
    </row>
    <row r="181" spans="7:14" s="308" customFormat="1" ht="15.75" customHeight="1">
      <c r="G181" s="310"/>
      <c r="J181" s="310"/>
      <c r="M181" s="310"/>
      <c r="N181" s="310"/>
    </row>
    <row r="182" spans="7:14" s="308" customFormat="1" ht="15.75" customHeight="1">
      <c r="G182" s="310"/>
      <c r="J182" s="310"/>
      <c r="M182" s="310"/>
      <c r="N182" s="310"/>
    </row>
    <row r="183" spans="7:14" s="308" customFormat="1" ht="15.75" customHeight="1">
      <c r="G183" s="310"/>
      <c r="J183" s="310"/>
      <c r="M183" s="310"/>
      <c r="N183" s="310"/>
    </row>
    <row r="184" spans="7:14" s="308" customFormat="1" ht="15.75" customHeight="1">
      <c r="G184" s="310"/>
      <c r="J184" s="310"/>
      <c r="M184" s="310"/>
      <c r="N184" s="310"/>
    </row>
    <row r="185" spans="7:14" s="308" customFormat="1" ht="15.75" customHeight="1">
      <c r="G185" s="310"/>
      <c r="J185" s="310"/>
      <c r="M185" s="310"/>
      <c r="N185" s="310"/>
    </row>
    <row r="186" spans="7:14" s="308" customFormat="1" ht="15.75" customHeight="1">
      <c r="G186" s="310"/>
      <c r="J186" s="310"/>
      <c r="M186" s="310"/>
      <c r="N186" s="310"/>
    </row>
    <row r="187" spans="7:14" s="308" customFormat="1" ht="15.75" customHeight="1">
      <c r="G187" s="310"/>
      <c r="J187" s="310"/>
      <c r="M187" s="310"/>
      <c r="N187" s="310"/>
    </row>
    <row r="188" spans="7:14" s="308" customFormat="1" ht="15.75" customHeight="1">
      <c r="G188" s="310"/>
      <c r="J188" s="310"/>
      <c r="M188" s="310"/>
      <c r="N188" s="310"/>
    </row>
    <row r="189" spans="7:14" s="308" customFormat="1" ht="15.75" customHeight="1">
      <c r="G189" s="310"/>
      <c r="J189" s="310"/>
      <c r="M189" s="310"/>
      <c r="N189" s="310"/>
    </row>
    <row r="190" spans="7:14" s="308" customFormat="1" ht="15.75" customHeight="1">
      <c r="G190" s="310"/>
      <c r="J190" s="310"/>
      <c r="M190" s="310"/>
      <c r="N190" s="310"/>
    </row>
    <row r="191" spans="7:14" s="308" customFormat="1" ht="15.75" customHeight="1">
      <c r="G191" s="310"/>
      <c r="J191" s="310"/>
      <c r="M191" s="310"/>
      <c r="N191" s="310"/>
    </row>
    <row r="192" spans="7:14" s="308" customFormat="1" ht="15.75" customHeight="1">
      <c r="G192" s="310"/>
      <c r="J192" s="310"/>
      <c r="M192" s="310"/>
      <c r="N192" s="310"/>
    </row>
    <row r="193" spans="7:14" s="308" customFormat="1" ht="15.75" customHeight="1">
      <c r="G193" s="310"/>
      <c r="J193" s="310"/>
      <c r="M193" s="310"/>
      <c r="N193" s="310"/>
    </row>
    <row r="194" spans="7:14" s="308" customFormat="1" ht="15.75" customHeight="1">
      <c r="G194" s="310"/>
      <c r="J194" s="310"/>
      <c r="M194" s="310"/>
      <c r="N194" s="310"/>
    </row>
    <row r="195" spans="7:14" s="308" customFormat="1" ht="15.75" customHeight="1">
      <c r="G195" s="310"/>
      <c r="J195" s="310"/>
      <c r="M195" s="310"/>
      <c r="N195" s="310"/>
    </row>
    <row r="196" spans="7:14" s="308" customFormat="1" ht="15.75" customHeight="1">
      <c r="G196" s="310"/>
      <c r="J196" s="310"/>
      <c r="M196" s="310"/>
      <c r="N196" s="310"/>
    </row>
    <row r="197" spans="7:14" s="308" customFormat="1" ht="15.75" customHeight="1">
      <c r="G197" s="310"/>
      <c r="J197" s="310"/>
      <c r="M197" s="310"/>
      <c r="N197" s="310"/>
    </row>
    <row r="198" spans="7:14" s="308" customFormat="1" ht="15.75" customHeight="1">
      <c r="G198" s="310"/>
      <c r="J198" s="310"/>
      <c r="M198" s="310"/>
      <c r="N198" s="310"/>
    </row>
    <row r="199" spans="7:14" s="308" customFormat="1" ht="15.75" customHeight="1">
      <c r="G199" s="310"/>
      <c r="J199" s="310"/>
      <c r="M199" s="310"/>
      <c r="N199" s="310"/>
    </row>
    <row r="200" spans="7:14" s="308" customFormat="1" ht="15.75" customHeight="1">
      <c r="G200" s="310"/>
      <c r="J200" s="310"/>
      <c r="M200" s="310"/>
      <c r="N200" s="310"/>
    </row>
    <row r="201" spans="7:14" s="308" customFormat="1" ht="15.75" customHeight="1">
      <c r="G201" s="310"/>
      <c r="J201" s="310"/>
      <c r="M201" s="310"/>
      <c r="N201" s="310"/>
    </row>
    <row r="202" spans="7:14" s="308" customFormat="1" ht="15.75" customHeight="1">
      <c r="G202" s="310"/>
      <c r="J202" s="310"/>
      <c r="M202" s="310"/>
      <c r="N202" s="310"/>
    </row>
    <row r="203" spans="7:14" s="308" customFormat="1" ht="15.75" customHeight="1">
      <c r="G203" s="310"/>
      <c r="J203" s="310"/>
      <c r="M203" s="310"/>
      <c r="N203" s="310"/>
    </row>
    <row r="204" spans="7:14" s="308" customFormat="1" ht="15.75" customHeight="1">
      <c r="G204" s="310"/>
      <c r="J204" s="310"/>
      <c r="M204" s="310"/>
      <c r="N204" s="310"/>
    </row>
    <row r="205" spans="7:14" s="308" customFormat="1" ht="15.75" customHeight="1">
      <c r="G205" s="310"/>
      <c r="J205" s="310"/>
      <c r="M205" s="310"/>
      <c r="N205" s="310"/>
    </row>
    <row r="206" spans="7:14" s="308" customFormat="1" ht="15.75" customHeight="1">
      <c r="G206" s="310"/>
      <c r="J206" s="310"/>
      <c r="M206" s="310"/>
      <c r="N206" s="310"/>
    </row>
    <row r="207" spans="7:14" s="308" customFormat="1" ht="15.75" customHeight="1">
      <c r="G207" s="310"/>
      <c r="J207" s="310"/>
      <c r="M207" s="310"/>
      <c r="N207" s="310"/>
    </row>
    <row r="208" spans="7:14" s="308" customFormat="1" ht="15.75" customHeight="1">
      <c r="G208" s="310"/>
      <c r="J208" s="310"/>
      <c r="M208" s="310"/>
      <c r="N208" s="310"/>
    </row>
    <row r="209" spans="7:14" s="308" customFormat="1" ht="15.75" customHeight="1">
      <c r="G209" s="310"/>
      <c r="J209" s="310"/>
      <c r="M209" s="310"/>
      <c r="N209" s="310"/>
    </row>
    <row r="210" spans="7:14" s="308" customFormat="1" ht="15.75" customHeight="1">
      <c r="G210" s="310"/>
      <c r="J210" s="310"/>
      <c r="M210" s="310"/>
      <c r="N210" s="310"/>
    </row>
    <row r="211" spans="7:14" s="308" customFormat="1" ht="15.75" customHeight="1">
      <c r="G211" s="310"/>
      <c r="J211" s="310"/>
      <c r="M211" s="310"/>
      <c r="N211" s="310"/>
    </row>
    <row r="212" spans="7:14" s="308" customFormat="1" ht="15.75" customHeight="1">
      <c r="G212" s="310"/>
      <c r="J212" s="310"/>
      <c r="M212" s="310"/>
      <c r="N212" s="310"/>
    </row>
    <row r="213" spans="7:14" s="308" customFormat="1" ht="15.75" customHeight="1">
      <c r="G213" s="310"/>
      <c r="J213" s="310"/>
      <c r="M213" s="310"/>
      <c r="N213" s="310"/>
    </row>
    <row r="214" spans="7:14" s="308" customFormat="1" ht="15.75" customHeight="1">
      <c r="G214" s="310"/>
      <c r="J214" s="310"/>
      <c r="M214" s="310"/>
      <c r="N214" s="310"/>
    </row>
    <row r="215" spans="7:14" s="308" customFormat="1" ht="15.75" customHeight="1">
      <c r="G215" s="310"/>
      <c r="J215" s="310"/>
      <c r="M215" s="310"/>
      <c r="N215" s="310"/>
    </row>
    <row r="216" spans="7:14" s="308" customFormat="1" ht="15.75" customHeight="1">
      <c r="G216" s="310"/>
      <c r="J216" s="310"/>
      <c r="M216" s="310"/>
      <c r="N216" s="310"/>
    </row>
    <row r="217" spans="7:14" s="308" customFormat="1" ht="15.75" customHeight="1">
      <c r="G217" s="310"/>
      <c r="J217" s="310"/>
      <c r="M217" s="310"/>
      <c r="N217" s="310"/>
    </row>
    <row r="218" spans="7:14" s="308" customFormat="1" ht="15.75" customHeight="1">
      <c r="G218" s="310"/>
      <c r="J218" s="310"/>
      <c r="M218" s="310"/>
      <c r="N218" s="310"/>
    </row>
    <row r="219" spans="7:14" s="308" customFormat="1" ht="15.75" customHeight="1">
      <c r="G219" s="310"/>
      <c r="J219" s="310"/>
      <c r="M219" s="310"/>
      <c r="N219" s="310"/>
    </row>
    <row r="220" spans="7:17" s="307" customFormat="1" ht="14.25" customHeight="1">
      <c r="G220" s="309"/>
      <c r="O220" s="308"/>
      <c r="P220" s="308"/>
      <c r="Q220" s="308"/>
    </row>
    <row r="221" spans="7:17" s="307" customFormat="1" ht="14.25" customHeight="1">
      <c r="G221" s="309"/>
      <c r="P221" s="308"/>
      <c r="Q221" s="308"/>
    </row>
    <row r="222" spans="7:17" s="307" customFormat="1" ht="14.25" customHeight="1">
      <c r="G222" s="309"/>
      <c r="P222" s="308"/>
      <c r="Q222" s="308"/>
    </row>
    <row r="223" spans="7:17" s="307" customFormat="1" ht="14.25" customHeight="1">
      <c r="G223" s="309"/>
      <c r="P223" s="308"/>
      <c r="Q223" s="308"/>
    </row>
    <row r="224" spans="7:17" s="307" customFormat="1" ht="14.25" customHeight="1">
      <c r="G224" s="309"/>
      <c r="P224" s="308"/>
      <c r="Q224" s="308"/>
    </row>
    <row r="225" spans="7:17" s="307" customFormat="1" ht="14.25" customHeight="1">
      <c r="G225" s="309"/>
      <c r="P225" s="308"/>
      <c r="Q225" s="308"/>
    </row>
    <row r="226" spans="7:17" s="307" customFormat="1" ht="14.25" customHeight="1">
      <c r="G226" s="309"/>
      <c r="P226" s="308"/>
      <c r="Q226" s="308"/>
    </row>
    <row r="227" spans="7:17" s="307" customFormat="1" ht="14.25" customHeight="1">
      <c r="G227" s="309"/>
      <c r="P227" s="308"/>
      <c r="Q227" s="308"/>
    </row>
    <row r="228" spans="7:17" s="307" customFormat="1" ht="14.25" customHeight="1">
      <c r="G228" s="309"/>
      <c r="P228" s="308"/>
      <c r="Q228" s="308"/>
    </row>
    <row r="229" spans="7:17" s="307" customFormat="1" ht="14.25" customHeight="1">
      <c r="G229" s="309"/>
      <c r="P229" s="308"/>
      <c r="Q229" s="308"/>
    </row>
    <row r="230" spans="16:17" s="307" customFormat="1" ht="14.25" customHeight="1">
      <c r="P230" s="308"/>
      <c r="Q230" s="308"/>
    </row>
    <row r="231" spans="16:17" s="307" customFormat="1" ht="14.25" customHeight="1">
      <c r="P231" s="308"/>
      <c r="Q231" s="308"/>
    </row>
    <row r="232" spans="16:17" s="307" customFormat="1" ht="14.25" customHeight="1">
      <c r="P232" s="308"/>
      <c r="Q232" s="308"/>
    </row>
    <row r="233" spans="16:17" s="307" customFormat="1" ht="14.25" customHeight="1">
      <c r="P233" s="308"/>
      <c r="Q233" s="308"/>
    </row>
    <row r="234" spans="16:17" s="307" customFormat="1" ht="14.25" customHeight="1">
      <c r="P234" s="308"/>
      <c r="Q234" s="308"/>
    </row>
    <row r="235" spans="16:17" s="307" customFormat="1" ht="14.25" customHeight="1">
      <c r="P235" s="308"/>
      <c r="Q235" s="308"/>
    </row>
    <row r="236" spans="16:17" s="307" customFormat="1" ht="14.25" customHeight="1">
      <c r="P236" s="308"/>
      <c r="Q236" s="308"/>
    </row>
    <row r="237" spans="16:17" s="307" customFormat="1" ht="14.25" customHeight="1">
      <c r="P237" s="308"/>
      <c r="Q237" s="308"/>
    </row>
    <row r="238" spans="16:17" s="307" customFormat="1" ht="14.25" customHeight="1">
      <c r="P238" s="308"/>
      <c r="Q238" s="308"/>
    </row>
    <row r="239" spans="16:17" s="307" customFormat="1" ht="14.25" customHeight="1">
      <c r="P239" s="308"/>
      <c r="Q239" s="308"/>
    </row>
    <row r="240" spans="16:17" s="307" customFormat="1" ht="14.25" customHeight="1">
      <c r="P240" s="308"/>
      <c r="Q240" s="308"/>
    </row>
    <row r="241" spans="16:17" s="307" customFormat="1" ht="14.25" customHeight="1">
      <c r="P241" s="308"/>
      <c r="Q241" s="308"/>
    </row>
    <row r="242" spans="16:17" s="307" customFormat="1" ht="14.25" customHeight="1">
      <c r="P242" s="305"/>
      <c r="Q242" s="308"/>
    </row>
    <row r="243" spans="16:17" s="307" customFormat="1" ht="14.25" customHeight="1">
      <c r="P243" s="305"/>
      <c r="Q243" s="308"/>
    </row>
    <row r="244" spans="16:17" s="307" customFormat="1" ht="14.25" customHeight="1">
      <c r="P244" s="305"/>
      <c r="Q244" s="308"/>
    </row>
    <row r="245" spans="16:17" s="307" customFormat="1" ht="14.25" customHeight="1">
      <c r="P245" s="305"/>
      <c r="Q245" s="308"/>
    </row>
    <row r="246" spans="16:17" s="307" customFormat="1" ht="14.25" customHeight="1">
      <c r="P246" s="305"/>
      <c r="Q246" s="308"/>
    </row>
    <row r="247" spans="16:17" s="307" customFormat="1" ht="14.25" customHeight="1">
      <c r="P247" s="305"/>
      <c r="Q247" s="308"/>
    </row>
    <row r="248" spans="16:17" s="307" customFormat="1" ht="14.25" customHeight="1">
      <c r="P248" s="305"/>
      <c r="Q248" s="305"/>
    </row>
    <row r="249" spans="16:17" s="307" customFormat="1" ht="14.25" customHeight="1">
      <c r="P249" s="305"/>
      <c r="Q249" s="305"/>
    </row>
    <row r="250" spans="16:17" s="307" customFormat="1" ht="14.25" customHeight="1">
      <c r="P250" s="305"/>
      <c r="Q250" s="305"/>
    </row>
    <row r="251" spans="16:17" s="307" customFormat="1" ht="14.25" customHeight="1">
      <c r="P251" s="305"/>
      <c r="Q251" s="305"/>
    </row>
    <row r="252" spans="16:17" s="307" customFormat="1" ht="14.25" customHeight="1">
      <c r="P252" s="305"/>
      <c r="Q252" s="305"/>
    </row>
    <row r="253" spans="16:17" s="307" customFormat="1" ht="14.25" customHeight="1">
      <c r="P253" s="305"/>
      <c r="Q253" s="305"/>
    </row>
    <row r="254" spans="16:17" s="307" customFormat="1" ht="14.25" customHeight="1">
      <c r="P254" s="305"/>
      <c r="Q254" s="305"/>
    </row>
    <row r="255" spans="16:17" s="307" customFormat="1" ht="14.25" customHeight="1">
      <c r="P255" s="305"/>
      <c r="Q255" s="305"/>
    </row>
    <row r="256" spans="16:17" s="307" customFormat="1" ht="14.25" customHeight="1">
      <c r="P256" s="305"/>
      <c r="Q256" s="305"/>
    </row>
    <row r="257" spans="16:17" s="307" customFormat="1" ht="14.25" customHeight="1">
      <c r="P257" s="305"/>
      <c r="Q257" s="305"/>
    </row>
    <row r="258" spans="16:17" s="307" customFormat="1" ht="14.25" customHeight="1">
      <c r="P258" s="305"/>
      <c r="Q258" s="305"/>
    </row>
    <row r="259" spans="16:17" s="307" customFormat="1" ht="14.25" customHeight="1">
      <c r="P259" s="305"/>
      <c r="Q259" s="305"/>
    </row>
    <row r="260" spans="16:17" s="307" customFormat="1" ht="14.25" customHeight="1">
      <c r="P260" s="305"/>
      <c r="Q260" s="305"/>
    </row>
    <row r="261" spans="16:17" s="307" customFormat="1" ht="14.25" customHeight="1">
      <c r="P261" s="305"/>
      <c r="Q261" s="305"/>
    </row>
    <row r="262" spans="16:17" s="307" customFormat="1" ht="14.25" customHeight="1">
      <c r="P262" s="305"/>
      <c r="Q262" s="305"/>
    </row>
    <row r="263" spans="16:17" s="307" customFormat="1" ht="14.25" customHeight="1">
      <c r="P263" s="305"/>
      <c r="Q263" s="305"/>
    </row>
    <row r="264" spans="16:17" s="307" customFormat="1" ht="14.25" customHeight="1">
      <c r="P264" s="305"/>
      <c r="Q264" s="305"/>
    </row>
    <row r="265" spans="16:17" s="307" customFormat="1" ht="14.25" customHeight="1">
      <c r="P265" s="305"/>
      <c r="Q265" s="305"/>
    </row>
    <row r="266" spans="16:17" s="307" customFormat="1" ht="14.25" customHeight="1">
      <c r="P266" s="305"/>
      <c r="Q266" s="305"/>
    </row>
    <row r="267" spans="16:17" s="307" customFormat="1" ht="14.25" customHeight="1">
      <c r="P267" s="305"/>
      <c r="Q267" s="305"/>
    </row>
    <row r="268" spans="16:17" s="307" customFormat="1" ht="14.25" customHeight="1">
      <c r="P268" s="305"/>
      <c r="Q268" s="305"/>
    </row>
    <row r="269" spans="16:17" s="307" customFormat="1" ht="14.25" customHeight="1">
      <c r="P269" s="305"/>
      <c r="Q269" s="305"/>
    </row>
    <row r="270" spans="16:17" s="307" customFormat="1" ht="14.25" customHeight="1">
      <c r="P270" s="305"/>
      <c r="Q270" s="305"/>
    </row>
    <row r="271" spans="16:17" s="307" customFormat="1" ht="14.25" customHeight="1">
      <c r="P271" s="305"/>
      <c r="Q271" s="305"/>
    </row>
    <row r="272" spans="16:17" s="307" customFormat="1" ht="14.25" customHeight="1">
      <c r="P272" s="305"/>
      <c r="Q272" s="305"/>
    </row>
    <row r="273" spans="16:17" s="307" customFormat="1" ht="14.25" customHeight="1">
      <c r="P273" s="305"/>
      <c r="Q273" s="305"/>
    </row>
    <row r="274" spans="16:17" s="307" customFormat="1" ht="14.25" customHeight="1">
      <c r="P274" s="305"/>
      <c r="Q274" s="305"/>
    </row>
    <row r="275" spans="16:17" s="307" customFormat="1" ht="14.25" customHeight="1">
      <c r="P275" s="305"/>
      <c r="Q275" s="305"/>
    </row>
    <row r="276" spans="16:17" s="307" customFormat="1" ht="12.75">
      <c r="P276" s="305"/>
      <c r="Q276" s="305"/>
    </row>
    <row r="277" spans="16:17" s="307" customFormat="1" ht="12.75">
      <c r="P277" s="305"/>
      <c r="Q277" s="305"/>
    </row>
    <row r="278" spans="16:17" s="307" customFormat="1" ht="12.75">
      <c r="P278" s="305"/>
      <c r="Q278" s="305"/>
    </row>
    <row r="279" spans="16:17" s="307" customFormat="1" ht="12.75">
      <c r="P279" s="305"/>
      <c r="Q279" s="305"/>
    </row>
    <row r="280" spans="16:17" s="307" customFormat="1" ht="12.75">
      <c r="P280" s="305"/>
      <c r="Q280" s="305"/>
    </row>
    <row r="281" spans="16:17" s="307" customFormat="1" ht="12.75">
      <c r="P281" s="305"/>
      <c r="Q281" s="305"/>
    </row>
    <row r="282" spans="16:17" s="307" customFormat="1" ht="12.75">
      <c r="P282" s="305"/>
      <c r="Q282" s="305"/>
    </row>
    <row r="283" spans="16:17" s="307" customFormat="1" ht="12.75">
      <c r="P283" s="305"/>
      <c r="Q283" s="305"/>
    </row>
    <row r="284" spans="16:17" s="307" customFormat="1" ht="12.75">
      <c r="P284" s="305"/>
      <c r="Q284" s="305"/>
    </row>
    <row r="285" spans="16:17" s="307" customFormat="1" ht="12.75">
      <c r="P285" s="305"/>
      <c r="Q285" s="305"/>
    </row>
    <row r="286" spans="16:17" s="307" customFormat="1" ht="12.75">
      <c r="P286" s="305"/>
      <c r="Q286" s="305"/>
    </row>
    <row r="287" spans="16:17" s="307" customFormat="1" ht="12.75">
      <c r="P287" s="305"/>
      <c r="Q287" s="305"/>
    </row>
    <row r="288" spans="16:17" s="306" customFormat="1" ht="12.75">
      <c r="P288" s="305"/>
      <c r="Q288" s="305"/>
    </row>
  </sheetData>
  <sheetProtection algorithmName="SHA-512" hashValue="jKHFsMTRDoD2zsFa0RiyuRXo9+ZaG9fNA7TsE6KNcOBegfCnlIXVFzPOciV+9HW8tsPUj+6v7D61PHFK8ERgrw==" saltValue="Js10X2HI7gEu6zHCPKJA0A==" spinCount="100000" sheet="1" objects="1" scenarios="1"/>
  <mergeCells count="10">
    <mergeCell ref="D1:M1"/>
    <mergeCell ref="N1:O2"/>
    <mergeCell ref="D2:M2"/>
    <mergeCell ref="B7:D7"/>
    <mergeCell ref="B8:D8"/>
    <mergeCell ref="F8:K8"/>
    <mergeCell ref="L8:O8"/>
    <mergeCell ref="C5:D5"/>
    <mergeCell ref="K5:L5"/>
    <mergeCell ref="I5:J5"/>
  </mergeCells>
  <hyperlinks>
    <hyperlink ref="L12" r:id="rId1" display="jane.doe@teletracnavman.com"/>
  </hyperlinks>
  <pageMargins left="0.7" right="0.7" top="0.75" bottom="0.75" header="0.3" footer="0.3"/>
  <pageSetup orientation="portrait"/>
  <headerFooter alignWithMargins="0"/>
  <drawing r:id="rId3"/>
  <legacy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D8C0-02EB-4851-83D1-029E8A0E1250}">
  <dimension ref="A1:Z630"/>
  <sheetViews>
    <sheetView zoomScale="71" zoomScaleNormal="71" workbookViewId="0" topLeftCell="A1">
      <pane ySplit="14" topLeftCell="A15" activePane="bottomLeft" state="frozen"/>
      <selection pane="topLeft" activeCell="M49" sqref="M49"/>
      <selection pane="bottomLeft" activeCell="C12" sqref="C12"/>
    </sheetView>
  </sheetViews>
  <sheetFormatPr defaultRowHeight="12.75"/>
  <cols>
    <col min="1" max="1" width="0" style="305" hidden="1" customWidth="1"/>
    <col min="2" max="2" width="14.5714285714286" style="305" customWidth="1"/>
    <col min="3" max="3" width="22.4285714285714" style="305" customWidth="1"/>
    <col min="4" max="4" width="15.5714285714286" style="305" customWidth="1"/>
    <col min="5" max="5" width="16" style="305" customWidth="1"/>
    <col min="6" max="6" width="11.5714285714286" style="305" customWidth="1"/>
    <col min="7" max="7" width="20.5714285714286" style="305" customWidth="1"/>
    <col min="8" max="8" width="11.5714285714286" style="305" customWidth="1"/>
    <col min="9" max="9" width="13.1428571428571" style="305" customWidth="1"/>
    <col min="10" max="10" width="11.5714285714286" style="305" customWidth="1"/>
    <col min="11" max="11" width="17.4285714285714" style="305" customWidth="1"/>
    <col min="12" max="12" width="11.1428571428571" style="305" customWidth="1"/>
    <col min="13" max="13" width="1.85714285714286" style="305" customWidth="1"/>
    <col min="14" max="15" width="17.5714285714286" style="305" customWidth="1"/>
    <col min="16" max="16" width="15.1428571428571" style="305" customWidth="1"/>
    <col min="17" max="17" width="23.7142857142857" style="305" customWidth="1"/>
    <col min="18" max="18" width="2.14285714285714" style="305" customWidth="1"/>
    <col min="19" max="19" width="12.4285714285714" style="305" customWidth="1"/>
    <col min="20" max="20" width="10.8571428571429" style="305" customWidth="1"/>
    <col min="21" max="21" width="14" style="305" customWidth="1"/>
    <col min="22" max="22" width="15.1428571428571" style="305" customWidth="1"/>
    <col min="23" max="23" width="17.1428571428571" style="305" customWidth="1"/>
    <col min="24" max="24" width="13.5714285714286" style="305" customWidth="1"/>
    <col min="25" max="25" width="9.14285714285714" style="305"/>
    <col min="26" max="26" width="29.2857142857143" style="305" customWidth="1"/>
    <col min="27" max="16384" width="9.14285714285714" style="305"/>
  </cols>
  <sheetData>
    <row r="1" spans="1:25" s="351" customFormat="1" ht="51.75" customHeight="1">
      <c r="A1" s="350"/>
      <c r="B1" s="350"/>
      <c r="C1" s="350"/>
      <c r="D1" s="611" t="s">
        <v>350</v>
      </c>
      <c r="E1" s="611"/>
      <c r="F1" s="611"/>
      <c r="G1" s="611"/>
      <c r="H1" s="611"/>
      <c r="I1" s="611"/>
      <c r="J1" s="611"/>
      <c r="K1" s="611"/>
      <c r="L1" s="368"/>
      <c r="M1" s="368"/>
      <c r="N1" s="368"/>
      <c r="O1" s="368"/>
      <c r="P1" s="368"/>
      <c r="Q1" s="369"/>
      <c r="R1" s="625"/>
      <c r="S1" s="625"/>
      <c r="T1" s="369"/>
      <c r="U1" s="369"/>
      <c r="V1" s="370"/>
      <c r="W1" s="612" t="s">
        <v>468</v>
      </c>
      <c r="X1" s="612"/>
      <c r="Y1" s="612"/>
    </row>
    <row r="2" spans="1:25" ht="39.75" customHeight="1">
      <c r="A2" s="352"/>
      <c r="B2" s="352"/>
      <c r="C2" s="352"/>
      <c r="D2" s="613" t="s">
        <v>349</v>
      </c>
      <c r="E2" s="613"/>
      <c r="F2" s="613"/>
      <c r="G2" s="613"/>
      <c r="H2" s="613"/>
      <c r="I2" s="613"/>
      <c r="J2" s="613"/>
      <c r="K2" s="613"/>
      <c r="L2" s="613"/>
      <c r="M2" s="352"/>
      <c r="N2" s="352"/>
      <c r="O2" s="352"/>
      <c r="P2" s="352"/>
      <c r="Q2" s="369"/>
      <c r="R2" s="625"/>
      <c r="S2" s="625"/>
      <c r="T2" s="369"/>
      <c r="U2" s="369"/>
      <c r="V2" s="371"/>
      <c r="W2" s="612"/>
      <c r="X2" s="612"/>
      <c r="Y2" s="612"/>
    </row>
    <row r="3" spans="1:24" ht="16.35" customHeight="1">
      <c r="A3" s="353"/>
      <c r="B3" s="353"/>
      <c r="C3" s="353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353"/>
      <c r="W3" s="353"/>
      <c r="X3" s="353"/>
    </row>
    <row r="4" ht="6.75" customHeight="1" thickBot="1"/>
    <row r="5" spans="2:24" ht="15.75" customHeight="1">
      <c r="B5" s="626" t="s">
        <v>427</v>
      </c>
      <c r="C5" s="627"/>
      <c r="D5" s="627"/>
      <c r="E5" s="372" t="s">
        <v>426</v>
      </c>
      <c r="F5" s="373"/>
      <c r="H5" s="626" t="s">
        <v>425</v>
      </c>
      <c r="I5" s="627"/>
      <c r="J5" s="627"/>
      <c r="K5" s="627"/>
      <c r="L5" s="628"/>
      <c r="Q5" s="626" t="s">
        <v>424</v>
      </c>
      <c r="R5" s="627"/>
      <c r="S5" s="627"/>
      <c r="T5" s="627"/>
      <c r="U5" s="627"/>
      <c r="V5" s="372" t="s">
        <v>423</v>
      </c>
      <c r="W5" s="372" t="s">
        <v>422</v>
      </c>
      <c r="X5" s="372" t="s">
        <v>421</v>
      </c>
    </row>
    <row r="6" spans="2:24" ht="60.75" customHeight="1" thickBot="1">
      <c r="B6" s="374"/>
      <c r="C6" s="639" t="s">
        <v>420</v>
      </c>
      <c r="D6" s="639"/>
      <c r="E6" s="365" t="s">
        <v>419</v>
      </c>
      <c r="F6" s="375"/>
      <c r="H6" s="640" t="s">
        <v>418</v>
      </c>
      <c r="I6" s="639"/>
      <c r="J6" s="639"/>
      <c r="K6" s="639"/>
      <c r="L6" s="641"/>
      <c r="Q6" s="376"/>
      <c r="R6" s="620" t="s">
        <v>417</v>
      </c>
      <c r="S6" s="620"/>
      <c r="T6" s="620"/>
      <c r="U6" s="620"/>
      <c r="V6" s="366" t="s">
        <v>416</v>
      </c>
      <c r="W6" s="366" t="s">
        <v>442</v>
      </c>
      <c r="X6" s="366" t="s">
        <v>415</v>
      </c>
    </row>
    <row r="7" ht="14.1" customHeight="1" thickBot="1">
      <c r="W7" s="355"/>
    </row>
    <row r="8" spans="2:24" s="357" customFormat="1" ht="16.35" customHeight="1">
      <c r="B8" s="377" t="s">
        <v>414</v>
      </c>
      <c r="C8" s="378"/>
      <c r="D8" s="378"/>
      <c r="E8" s="378"/>
      <c r="F8" s="378"/>
      <c r="G8" s="378"/>
      <c r="H8" s="378"/>
      <c r="I8" s="378"/>
      <c r="J8" s="378"/>
      <c r="K8" s="378"/>
      <c r="L8" s="379"/>
      <c r="N8" s="621" t="s">
        <v>413</v>
      </c>
      <c r="O8" s="622"/>
      <c r="P8" s="622"/>
      <c r="Q8" s="623"/>
      <c r="S8" s="621" t="s">
        <v>412</v>
      </c>
      <c r="T8" s="622"/>
      <c r="U8" s="622"/>
      <c r="V8" s="622"/>
      <c r="W8" s="622"/>
      <c r="X8" s="623"/>
    </row>
    <row r="9" spans="2:24" s="361" customFormat="1" ht="79.5" customHeight="1" thickBot="1">
      <c r="B9" s="629" t="s">
        <v>411</v>
      </c>
      <c r="C9" s="630"/>
      <c r="D9" s="630"/>
      <c r="E9" s="630"/>
      <c r="F9" s="380"/>
      <c r="G9" s="631" t="s">
        <v>410</v>
      </c>
      <c r="H9" s="631"/>
      <c r="I9" s="631"/>
      <c r="J9" s="631"/>
      <c r="K9" s="631"/>
      <c r="L9" s="632"/>
      <c r="N9" s="633"/>
      <c r="O9" s="634"/>
      <c r="P9" s="634"/>
      <c r="Q9" s="635"/>
      <c r="S9" s="636" t="s">
        <v>409</v>
      </c>
      <c r="T9" s="637"/>
      <c r="U9" s="637"/>
      <c r="V9" s="637"/>
      <c r="W9" s="637"/>
      <c r="X9" s="638"/>
    </row>
    <row r="10" spans="2:15" s="361" customFormat="1" ht="6.95" customHeight="1" thickBot="1">
      <c r="B10" s="362"/>
      <c r="C10" s="363"/>
      <c r="D10" s="363"/>
      <c r="E10" s="363"/>
      <c r="F10" s="363"/>
      <c r="G10" s="363"/>
      <c r="H10" s="363"/>
      <c r="I10" s="363"/>
      <c r="J10" s="363"/>
      <c r="K10" s="363"/>
      <c r="L10" s="363"/>
      <c r="N10" s="363"/>
      <c r="O10" s="363"/>
    </row>
    <row r="11" spans="2:17" s="361" customFormat="1" ht="24.6" customHeight="1">
      <c r="B11" s="381" t="s">
        <v>408</v>
      </c>
      <c r="C11" s="363"/>
      <c r="D11" s="381" t="s">
        <v>407</v>
      </c>
      <c r="E11" s="381" t="s">
        <v>406</v>
      </c>
      <c r="F11" s="363"/>
      <c r="G11" s="624" t="s">
        <v>443</v>
      </c>
      <c r="H11" s="624"/>
      <c r="I11" s="624"/>
      <c r="J11" s="624"/>
      <c r="K11" s="624"/>
      <c r="L11" s="624"/>
      <c r="N11" s="381" t="s">
        <v>405</v>
      </c>
      <c r="O11" s="381" t="s">
        <v>404</v>
      </c>
      <c r="P11" s="381" t="s">
        <v>403</v>
      </c>
      <c r="Q11" s="382"/>
    </row>
    <row r="12" spans="2:17" s="361" customFormat="1" ht="21.6" customHeight="1" thickBot="1">
      <c r="B12" s="367">
        <f>COUNTA(B15:B417)</f>
        <v>2</v>
      </c>
      <c r="C12" s="363"/>
      <c r="D12" s="367">
        <f>COUNTIF(C15:C417,"Solar Tracker")</f>
        <v>1</v>
      </c>
      <c r="E12" s="367">
        <f>COUNTIF(C15:C417,"ATS*")</f>
        <v>0</v>
      </c>
      <c r="F12" s="363"/>
      <c r="G12" s="624"/>
      <c r="H12" s="624"/>
      <c r="I12" s="624"/>
      <c r="J12" s="624"/>
      <c r="K12" s="624"/>
      <c r="L12" s="624"/>
      <c r="N12" s="367">
        <f>COUNTIF(N15:N417,"Yes")</f>
        <v>1</v>
      </c>
      <c r="O12" s="383">
        <f>COUNTIF(O15:O417,"&lt;&gt;"&amp;A71)</f>
        <v>0</v>
      </c>
      <c r="P12" s="367">
        <f>COUNTA(P15:P417)</f>
        <v>0</v>
      </c>
      <c r="Q12" s="382"/>
    </row>
    <row r="13" spans="2:12" s="361" customFormat="1" ht="6.95" customHeight="1" thickBot="1">
      <c r="B13" s="362"/>
      <c r="C13" s="363"/>
      <c r="D13" s="363"/>
      <c r="E13" s="363"/>
      <c r="F13" s="363"/>
      <c r="G13" s="363"/>
      <c r="H13" s="363"/>
      <c r="I13" s="363"/>
      <c r="J13" s="363"/>
      <c r="K13" s="363"/>
      <c r="L13" s="363"/>
    </row>
    <row r="14" spans="2:25" s="317" customFormat="1" ht="31.35" customHeight="1">
      <c r="B14" s="364" t="s">
        <v>402</v>
      </c>
      <c r="C14" s="364" t="s">
        <v>401</v>
      </c>
      <c r="D14" s="364" t="s">
        <v>222</v>
      </c>
      <c r="E14" s="364" t="s">
        <v>400</v>
      </c>
      <c r="F14" s="364" t="s">
        <v>399</v>
      </c>
      <c r="G14" s="364" t="s">
        <v>398</v>
      </c>
      <c r="H14" s="364" t="s">
        <v>397</v>
      </c>
      <c r="I14" s="364" t="s">
        <v>396</v>
      </c>
      <c r="J14" s="364" t="s">
        <v>395</v>
      </c>
      <c r="K14" s="364" t="s">
        <v>394</v>
      </c>
      <c r="L14" s="364" t="s">
        <v>393</v>
      </c>
      <c r="N14" s="384" t="s">
        <v>392</v>
      </c>
      <c r="O14" s="384" t="s">
        <v>391</v>
      </c>
      <c r="P14" s="385" t="s">
        <v>390</v>
      </c>
      <c r="Q14" s="386" t="s">
        <v>389</v>
      </c>
      <c r="S14" s="387" t="s">
        <v>388</v>
      </c>
      <c r="T14" s="388" t="s">
        <v>387</v>
      </c>
      <c r="U14" s="388" t="s">
        <v>386</v>
      </c>
      <c r="V14" s="388" t="s">
        <v>385</v>
      </c>
      <c r="W14" s="389" t="s">
        <v>384</v>
      </c>
      <c r="X14" s="389" t="s">
        <v>383</v>
      </c>
      <c r="Y14" s="389" t="s">
        <v>382</v>
      </c>
    </row>
    <row r="15" spans="1:26" s="316" customFormat="1" ht="18" customHeight="1">
      <c r="A15" s="308" t="s">
        <v>309</v>
      </c>
      <c r="B15" s="327" t="s">
        <v>381</v>
      </c>
      <c r="C15" s="324" t="s">
        <v>375</v>
      </c>
      <c r="D15" s="324" t="str">
        <f>B15</f>
        <v>1JG3JK</v>
      </c>
      <c r="E15" s="325" t="s">
        <v>307</v>
      </c>
      <c r="F15" s="324" t="str">
        <f>IF(B15="","",B15)</f>
        <v>1JG3JK</v>
      </c>
      <c r="G15" s="326" t="s">
        <v>380</v>
      </c>
      <c r="H15" s="325" t="s">
        <v>376</v>
      </c>
      <c r="I15" s="324" t="s">
        <v>379</v>
      </c>
      <c r="J15" s="324" t="s">
        <v>378</v>
      </c>
      <c r="K15" s="325" t="s">
        <v>316</v>
      </c>
      <c r="L15" s="324"/>
      <c r="M15" s="328"/>
      <c r="N15" s="329" t="s">
        <v>15</v>
      </c>
      <c r="O15" s="319" t="s">
        <v>16</v>
      </c>
      <c r="P15" s="321"/>
      <c r="Q15" s="320"/>
      <c r="R15" s="328"/>
      <c r="S15" s="319"/>
      <c r="T15" s="319"/>
      <c r="U15" s="319"/>
      <c r="V15" s="319"/>
      <c r="W15" s="319"/>
      <c r="X15" s="319"/>
      <c r="Y15" s="319"/>
      <c r="Z15" s="316" t="str">
        <f>IF(Y15="Yes","Please ensure the UI has been upgraded","")</f>
        <v/>
      </c>
    </row>
    <row r="16" spans="1:26" s="308" customFormat="1" ht="15.75" customHeight="1">
      <c r="A16" s="308" t="s">
        <v>369</v>
      </c>
      <c r="B16" s="327" t="s">
        <v>377</v>
      </c>
      <c r="C16" s="324" t="s">
        <v>361</v>
      </c>
      <c r="D16" s="324" t="str">
        <f>B16</f>
        <v>Bin 1</v>
      </c>
      <c r="E16" s="325" t="s">
        <v>307</v>
      </c>
      <c r="F16" s="324" t="str">
        <f>IF(B16="","",B16)</f>
        <v>Bin 1</v>
      </c>
      <c r="G16" s="326"/>
      <c r="H16" s="325" t="s">
        <v>376</v>
      </c>
      <c r="I16" s="324"/>
      <c r="J16" s="324"/>
      <c r="K16" s="325"/>
      <c r="L16" s="324"/>
      <c r="M16" s="313"/>
      <c r="N16" s="319" t="s">
        <v>16</v>
      </c>
      <c r="O16" s="319" t="s">
        <v>16</v>
      </c>
      <c r="P16" s="321"/>
      <c r="Q16" s="320"/>
      <c r="R16" s="313"/>
      <c r="S16" s="319"/>
      <c r="T16" s="319"/>
      <c r="U16" s="319"/>
      <c r="V16" s="319"/>
      <c r="W16" s="319"/>
      <c r="X16" s="319"/>
      <c r="Y16" s="319"/>
      <c r="Z16" s="316" t="str">
        <f>IF(Y16="Yes","Please ensure the UI has been upgraded","")</f>
        <v/>
      </c>
    </row>
    <row r="17" spans="1:26" s="308" customFormat="1" ht="15.75" customHeight="1">
      <c r="A17" s="308" t="s">
        <v>368</v>
      </c>
      <c r="B17" s="322"/>
      <c r="C17" s="315" t="s">
        <v>309</v>
      </c>
      <c r="D17" s="315">
        <f>B17</f>
        <v>0</v>
      </c>
      <c r="E17" s="322" t="s">
        <v>309</v>
      </c>
      <c r="F17" s="315" t="str">
        <f>IF(B17="","",B17)</f>
        <v/>
      </c>
      <c r="G17" s="323"/>
      <c r="H17" s="322"/>
      <c r="I17" s="315"/>
      <c r="J17" s="315"/>
      <c r="K17" s="322"/>
      <c r="L17" s="315"/>
      <c r="M17" s="313"/>
      <c r="N17" s="319" t="s">
        <v>16</v>
      </c>
      <c r="O17" s="319" t="s">
        <v>16</v>
      </c>
      <c r="P17" s="321"/>
      <c r="Q17" s="320"/>
      <c r="R17" s="313"/>
      <c r="S17" s="319"/>
      <c r="T17" s="319"/>
      <c r="U17" s="319"/>
      <c r="V17" s="319"/>
      <c r="W17" s="319"/>
      <c r="X17" s="319"/>
      <c r="Y17" s="319"/>
      <c r="Z17" s="316" t="str">
        <f>IF(Y17="Yes","Please ensure the UI has been upgraded","")</f>
        <v/>
      </c>
    </row>
    <row r="18" spans="1:26" s="308" customFormat="1" ht="15.75" customHeight="1">
      <c r="A18" s="308" t="s">
        <v>367</v>
      </c>
      <c r="B18" s="322"/>
      <c r="C18" s="315" t="s">
        <v>309</v>
      </c>
      <c r="D18" s="315">
        <f>B18</f>
        <v>0</v>
      </c>
      <c r="E18" s="322" t="s">
        <v>309</v>
      </c>
      <c r="F18" s="315" t="str">
        <f>IF(B18="","",B18)</f>
        <v/>
      </c>
      <c r="G18" s="323"/>
      <c r="H18" s="322"/>
      <c r="I18" s="315"/>
      <c r="J18" s="315"/>
      <c r="K18" s="322"/>
      <c r="L18" s="315"/>
      <c r="M18" s="313"/>
      <c r="N18" s="319" t="s">
        <v>16</v>
      </c>
      <c r="O18" s="319" t="s">
        <v>16</v>
      </c>
      <c r="P18" s="321"/>
      <c r="Q18" s="320"/>
      <c r="R18" s="313"/>
      <c r="S18" s="319"/>
      <c r="T18" s="319"/>
      <c r="U18" s="319"/>
      <c r="V18" s="319"/>
      <c r="W18" s="319"/>
      <c r="X18" s="319"/>
      <c r="Y18" s="319"/>
      <c r="Z18" s="316" t="str">
        <f>IF(Y18="Yes","Please ensure the UI has been upgraded","")</f>
        <v/>
      </c>
    </row>
    <row r="19" spans="1:26" s="308" customFormat="1" ht="15.75" customHeight="1">
      <c r="A19" s="308" t="s">
        <v>366</v>
      </c>
      <c r="B19" s="322"/>
      <c r="C19" s="315" t="s">
        <v>309</v>
      </c>
      <c r="D19" s="315">
        <f>B19</f>
        <v>0</v>
      </c>
      <c r="E19" s="322" t="s">
        <v>309</v>
      </c>
      <c r="F19" s="315" t="str">
        <f>IF(B19="","",B19)</f>
        <v/>
      </c>
      <c r="G19" s="323"/>
      <c r="H19" s="322"/>
      <c r="I19" s="315"/>
      <c r="J19" s="315"/>
      <c r="K19" s="322"/>
      <c r="L19" s="315"/>
      <c r="M19" s="313"/>
      <c r="N19" s="319" t="s">
        <v>16</v>
      </c>
      <c r="O19" s="319" t="s">
        <v>16</v>
      </c>
      <c r="P19" s="321"/>
      <c r="Q19" s="320"/>
      <c r="R19" s="313"/>
      <c r="S19" s="319"/>
      <c r="T19" s="319"/>
      <c r="U19" s="319"/>
      <c r="V19" s="319"/>
      <c r="W19" s="319"/>
      <c r="X19" s="319"/>
      <c r="Y19" s="319"/>
      <c r="Z19" s="316" t="str">
        <f>IF(Y19="Yes","Please ensure the UI has been upgraded","")</f>
        <v/>
      </c>
    </row>
    <row r="20" spans="1:26" s="308" customFormat="1" ht="15.75" customHeight="1">
      <c r="A20" s="308" t="s">
        <v>365</v>
      </c>
      <c r="B20" s="322"/>
      <c r="C20" s="315" t="s">
        <v>309</v>
      </c>
      <c r="D20" s="315">
        <f>B20</f>
        <v>0</v>
      </c>
      <c r="E20" s="322" t="s">
        <v>309</v>
      </c>
      <c r="F20" s="315" t="str">
        <f>IF(B20="","",B20)</f>
        <v/>
      </c>
      <c r="G20" s="323"/>
      <c r="H20" s="322"/>
      <c r="I20" s="315"/>
      <c r="J20" s="315"/>
      <c r="K20" s="322"/>
      <c r="L20" s="315"/>
      <c r="M20" s="313"/>
      <c r="N20" s="319" t="s">
        <v>16</v>
      </c>
      <c r="O20" s="319" t="s">
        <v>16</v>
      </c>
      <c r="P20" s="321"/>
      <c r="Q20" s="320"/>
      <c r="R20" s="313"/>
      <c r="S20" s="319"/>
      <c r="T20" s="319"/>
      <c r="U20" s="319"/>
      <c r="V20" s="319"/>
      <c r="W20" s="319"/>
      <c r="X20" s="319"/>
      <c r="Y20" s="319"/>
      <c r="Z20" s="316" t="str">
        <f>IF(Y20="Yes","Please ensure the UI has been upgraded","")</f>
        <v/>
      </c>
    </row>
    <row r="21" spans="1:26" s="308" customFormat="1" ht="15.75" customHeight="1">
      <c r="A21" s="308" t="s">
        <v>364</v>
      </c>
      <c r="B21" s="322"/>
      <c r="C21" s="315" t="s">
        <v>309</v>
      </c>
      <c r="D21" s="315">
        <f>B21</f>
        <v>0</v>
      </c>
      <c r="E21" s="322" t="s">
        <v>309</v>
      </c>
      <c r="F21" s="315" t="str">
        <f>IF(B21="","",B21)</f>
        <v/>
      </c>
      <c r="G21" s="323"/>
      <c r="H21" s="322"/>
      <c r="I21" s="315"/>
      <c r="J21" s="315"/>
      <c r="K21" s="322"/>
      <c r="L21" s="315"/>
      <c r="M21" s="313"/>
      <c r="N21" s="319" t="s">
        <v>16</v>
      </c>
      <c r="O21" s="319" t="s">
        <v>16</v>
      </c>
      <c r="P21" s="321"/>
      <c r="Q21" s="320"/>
      <c r="R21" s="313"/>
      <c r="S21" s="319"/>
      <c r="T21" s="319"/>
      <c r="U21" s="319"/>
      <c r="V21" s="319"/>
      <c r="W21" s="319"/>
      <c r="X21" s="319"/>
      <c r="Y21" s="319"/>
      <c r="Z21" s="316" t="str">
        <f>IF(Y21="Yes","Please ensure the UI has been upgraded","")</f>
        <v/>
      </c>
    </row>
    <row r="22" spans="1:26" s="308" customFormat="1" ht="15.75" customHeight="1">
      <c r="A22" s="308" t="s">
        <v>363</v>
      </c>
      <c r="B22" s="322"/>
      <c r="C22" s="315" t="s">
        <v>309</v>
      </c>
      <c r="D22" s="315">
        <f>B22</f>
        <v>0</v>
      </c>
      <c r="E22" s="322" t="s">
        <v>309</v>
      </c>
      <c r="F22" s="315" t="str">
        <f>IF(B22="","",B22)</f>
        <v/>
      </c>
      <c r="G22" s="323"/>
      <c r="H22" s="322"/>
      <c r="I22" s="315"/>
      <c r="J22" s="315"/>
      <c r="K22" s="322"/>
      <c r="L22" s="315"/>
      <c r="M22" s="313"/>
      <c r="N22" s="319" t="s">
        <v>16</v>
      </c>
      <c r="O22" s="319" t="s">
        <v>16</v>
      </c>
      <c r="P22" s="321"/>
      <c r="Q22" s="320"/>
      <c r="R22" s="313"/>
      <c r="S22" s="319"/>
      <c r="T22" s="319"/>
      <c r="U22" s="319"/>
      <c r="V22" s="319"/>
      <c r="W22" s="319"/>
      <c r="X22" s="319"/>
      <c r="Y22" s="319"/>
      <c r="Z22" s="316" t="str">
        <f>IF(Y22="Yes","Please ensure the UI has been upgraded","")</f>
        <v/>
      </c>
    </row>
    <row r="23" spans="1:26" s="308" customFormat="1" ht="15.75" customHeight="1">
      <c r="A23" s="308" t="s">
        <v>362</v>
      </c>
      <c r="B23" s="322"/>
      <c r="C23" s="315" t="s">
        <v>309</v>
      </c>
      <c r="D23" s="315">
        <f>B23</f>
        <v>0</v>
      </c>
      <c r="E23" s="322" t="s">
        <v>309</v>
      </c>
      <c r="F23" s="315" t="str">
        <f>IF(B23="","",B23)</f>
        <v/>
      </c>
      <c r="G23" s="323"/>
      <c r="H23" s="322"/>
      <c r="I23" s="315"/>
      <c r="J23" s="315"/>
      <c r="K23" s="322"/>
      <c r="L23" s="315"/>
      <c r="M23" s="313"/>
      <c r="N23" s="319" t="s">
        <v>16</v>
      </c>
      <c r="O23" s="319" t="s">
        <v>16</v>
      </c>
      <c r="P23" s="321"/>
      <c r="Q23" s="320"/>
      <c r="R23" s="313"/>
      <c r="S23" s="319"/>
      <c r="T23" s="319"/>
      <c r="U23" s="319"/>
      <c r="V23" s="319"/>
      <c r="W23" s="319"/>
      <c r="X23" s="319"/>
      <c r="Y23" s="319"/>
      <c r="Z23" s="316" t="str">
        <f>IF(Y23="Yes","Please ensure the UI has been upgraded","")</f>
        <v/>
      </c>
    </row>
    <row r="24" spans="1:26" s="308" customFormat="1" ht="15.75" customHeight="1">
      <c r="A24" s="308" t="s">
        <v>56</v>
      </c>
      <c r="B24" s="322"/>
      <c r="C24" s="315" t="s">
        <v>309</v>
      </c>
      <c r="D24" s="315">
        <f>B24</f>
        <v>0</v>
      </c>
      <c r="E24" s="322" t="s">
        <v>309</v>
      </c>
      <c r="F24" s="315" t="str">
        <f>IF(B24="","",B24)</f>
        <v/>
      </c>
      <c r="G24" s="323"/>
      <c r="H24" s="322"/>
      <c r="I24" s="315"/>
      <c r="J24" s="315"/>
      <c r="K24" s="322"/>
      <c r="L24" s="315"/>
      <c r="M24" s="313"/>
      <c r="N24" s="319" t="s">
        <v>16</v>
      </c>
      <c r="O24" s="319" t="s">
        <v>16</v>
      </c>
      <c r="P24" s="321"/>
      <c r="Q24" s="320"/>
      <c r="R24" s="313"/>
      <c r="S24" s="319"/>
      <c r="T24" s="319"/>
      <c r="U24" s="319"/>
      <c r="V24" s="319"/>
      <c r="W24" s="319"/>
      <c r="X24" s="319"/>
      <c r="Y24" s="319"/>
      <c r="Z24" s="316" t="str">
        <f>IF(Y24="Yes","Please ensure the UI has been upgraded","")</f>
        <v/>
      </c>
    </row>
    <row r="25" spans="1:26" s="308" customFormat="1" ht="15.75" customHeight="1">
      <c r="A25" s="308" t="s">
        <v>57</v>
      </c>
      <c r="B25" s="322"/>
      <c r="C25" s="315" t="s">
        <v>309</v>
      </c>
      <c r="D25" s="315">
        <f>B25</f>
        <v>0</v>
      </c>
      <c r="E25" s="322" t="s">
        <v>309</v>
      </c>
      <c r="F25" s="315" t="str">
        <f>IF(B25="","",B25)</f>
        <v/>
      </c>
      <c r="G25" s="323"/>
      <c r="H25" s="322"/>
      <c r="I25" s="315"/>
      <c r="J25" s="315"/>
      <c r="K25" s="322"/>
      <c r="L25" s="315"/>
      <c r="M25" s="313"/>
      <c r="N25" s="319" t="s">
        <v>16</v>
      </c>
      <c r="O25" s="319" t="s">
        <v>16</v>
      </c>
      <c r="P25" s="321"/>
      <c r="Q25" s="320"/>
      <c r="R25" s="313"/>
      <c r="S25" s="319"/>
      <c r="T25" s="319"/>
      <c r="U25" s="319"/>
      <c r="V25" s="319"/>
      <c r="W25" s="319"/>
      <c r="X25" s="319"/>
      <c r="Y25" s="319"/>
      <c r="Z25" s="316" t="str">
        <f>IF(Y25="Yes","Please ensure the UI has been upgraded","")</f>
        <v/>
      </c>
    </row>
    <row r="26" spans="1:26" s="308" customFormat="1" ht="15.75" customHeight="1">
      <c r="A26" s="308" t="s">
        <v>310</v>
      </c>
      <c r="B26" s="322"/>
      <c r="C26" s="315" t="s">
        <v>309</v>
      </c>
      <c r="D26" s="315">
        <f>B26</f>
        <v>0</v>
      </c>
      <c r="E26" s="322" t="s">
        <v>309</v>
      </c>
      <c r="F26" s="315" t="str">
        <f>IF(B26="","",B26)</f>
        <v/>
      </c>
      <c r="G26" s="323"/>
      <c r="H26" s="322"/>
      <c r="I26" s="315"/>
      <c r="J26" s="315"/>
      <c r="K26" s="322"/>
      <c r="L26" s="315"/>
      <c r="M26" s="313"/>
      <c r="N26" s="319" t="s">
        <v>16</v>
      </c>
      <c r="O26" s="319" t="s">
        <v>16</v>
      </c>
      <c r="P26" s="321"/>
      <c r="Q26" s="320"/>
      <c r="R26" s="313"/>
      <c r="S26" s="319"/>
      <c r="T26" s="319"/>
      <c r="U26" s="319"/>
      <c r="V26" s="319"/>
      <c r="W26" s="319"/>
      <c r="X26" s="319"/>
      <c r="Y26" s="319"/>
      <c r="Z26" s="316" t="str">
        <f>IF(Y26="Yes","Please ensure the UI has been upgraded","")</f>
        <v/>
      </c>
    </row>
    <row r="27" spans="1:26" s="308" customFormat="1" ht="15.75" customHeight="1">
      <c r="A27" s="308" t="s">
        <v>370</v>
      </c>
      <c r="B27" s="322"/>
      <c r="C27" s="315" t="s">
        <v>309</v>
      </c>
      <c r="D27" s="315">
        <f>B27</f>
        <v>0</v>
      </c>
      <c r="E27" s="322" t="s">
        <v>309</v>
      </c>
      <c r="F27" s="315" t="str">
        <f>IF(B27="","",B27)</f>
        <v/>
      </c>
      <c r="G27" s="323"/>
      <c r="H27" s="322"/>
      <c r="I27" s="315"/>
      <c r="J27" s="315"/>
      <c r="K27" s="322"/>
      <c r="L27" s="315"/>
      <c r="M27" s="313"/>
      <c r="N27" s="319" t="s">
        <v>16</v>
      </c>
      <c r="O27" s="319" t="s">
        <v>16</v>
      </c>
      <c r="P27" s="321"/>
      <c r="Q27" s="320"/>
      <c r="R27" s="313"/>
      <c r="S27" s="319"/>
      <c r="T27" s="319"/>
      <c r="U27" s="319"/>
      <c r="V27" s="319"/>
      <c r="W27" s="319"/>
      <c r="X27" s="319"/>
      <c r="Y27" s="319"/>
      <c r="Z27" s="316" t="str">
        <f>IF(Y27="Yes","Please ensure the UI has been upgraded","")</f>
        <v/>
      </c>
    </row>
    <row r="28" spans="1:26" s="308" customFormat="1" ht="15.75" customHeight="1">
      <c r="A28" s="308" t="s">
        <v>307</v>
      </c>
      <c r="B28" s="322"/>
      <c r="C28" s="315" t="s">
        <v>309</v>
      </c>
      <c r="D28" s="315">
        <f>B28</f>
        <v>0</v>
      </c>
      <c r="E28" s="322" t="s">
        <v>309</v>
      </c>
      <c r="F28" s="315" t="str">
        <f>IF(B28="","",B28)</f>
        <v/>
      </c>
      <c r="G28" s="323"/>
      <c r="H28" s="322"/>
      <c r="I28" s="315"/>
      <c r="J28" s="315"/>
      <c r="K28" s="322"/>
      <c r="L28" s="315"/>
      <c r="M28" s="313"/>
      <c r="N28" s="319" t="s">
        <v>16</v>
      </c>
      <c r="O28" s="319" t="s">
        <v>16</v>
      </c>
      <c r="P28" s="321"/>
      <c r="Q28" s="320"/>
      <c r="R28" s="313"/>
      <c r="S28" s="319"/>
      <c r="T28" s="319"/>
      <c r="U28" s="319"/>
      <c r="V28" s="319"/>
      <c r="W28" s="319"/>
      <c r="X28" s="319"/>
      <c r="Y28" s="319"/>
      <c r="Z28" s="316" t="str">
        <f>IF(Y28="Yes","Please ensure the UI has been upgraded","")</f>
        <v/>
      </c>
    </row>
    <row r="29" spans="1:26" s="308" customFormat="1" ht="15.75" customHeight="1">
      <c r="A29" s="308" t="s">
        <v>306</v>
      </c>
      <c r="B29" s="322"/>
      <c r="C29" s="315" t="s">
        <v>309</v>
      </c>
      <c r="D29" s="315">
        <f>B29</f>
        <v>0</v>
      </c>
      <c r="E29" s="322" t="s">
        <v>309</v>
      </c>
      <c r="F29" s="315" t="str">
        <f>IF(B29="","",B29)</f>
        <v/>
      </c>
      <c r="G29" s="323"/>
      <c r="H29" s="322"/>
      <c r="I29" s="315"/>
      <c r="J29" s="315"/>
      <c r="K29" s="322"/>
      <c r="L29" s="315"/>
      <c r="M29" s="313"/>
      <c r="N29" s="319" t="s">
        <v>16</v>
      </c>
      <c r="O29" s="319" t="s">
        <v>16</v>
      </c>
      <c r="P29" s="321"/>
      <c r="Q29" s="320"/>
      <c r="R29" s="313"/>
      <c r="S29" s="319"/>
      <c r="T29" s="319"/>
      <c r="U29" s="319"/>
      <c r="V29" s="319"/>
      <c r="W29" s="319"/>
      <c r="X29" s="319"/>
      <c r="Y29" s="319"/>
      <c r="Z29" s="316" t="str">
        <f>IF(Y29="Yes","Please ensure the UI has been upgraded","")</f>
        <v/>
      </c>
    </row>
    <row r="30" spans="1:26" s="308" customFormat="1" ht="15.75" customHeight="1">
      <c r="A30" s="308" t="s">
        <v>435</v>
      </c>
      <c r="B30" s="322"/>
      <c r="C30" s="315" t="s">
        <v>309</v>
      </c>
      <c r="D30" s="315">
        <f>B30</f>
        <v>0</v>
      </c>
      <c r="E30" s="322" t="s">
        <v>309</v>
      </c>
      <c r="F30" s="315" t="str">
        <f>IF(B30="","",B30)</f>
        <v/>
      </c>
      <c r="G30" s="323"/>
      <c r="H30" s="322"/>
      <c r="I30" s="315"/>
      <c r="J30" s="315"/>
      <c r="K30" s="322"/>
      <c r="L30" s="315"/>
      <c r="M30" s="313"/>
      <c r="N30" s="319" t="s">
        <v>16</v>
      </c>
      <c r="O30" s="319" t="s">
        <v>16</v>
      </c>
      <c r="P30" s="321"/>
      <c r="Q30" s="320"/>
      <c r="R30" s="313"/>
      <c r="S30" s="319"/>
      <c r="T30" s="319"/>
      <c r="U30" s="319"/>
      <c r="V30" s="319"/>
      <c r="W30" s="319"/>
      <c r="X30" s="319"/>
      <c r="Y30" s="319"/>
      <c r="Z30" s="316" t="str">
        <f>IF(Y30="Yes","Please ensure the UI has been upgraded","")</f>
        <v/>
      </c>
    </row>
    <row r="31" spans="1:26" s="308" customFormat="1" ht="15.75" customHeight="1">
      <c r="A31" s="308" t="s">
        <v>372</v>
      </c>
      <c r="B31" s="322"/>
      <c r="C31" s="315" t="s">
        <v>309</v>
      </c>
      <c r="D31" s="315">
        <f>B31</f>
        <v>0</v>
      </c>
      <c r="E31" s="322" t="s">
        <v>309</v>
      </c>
      <c r="F31" s="315" t="str">
        <f>IF(B31="","",B31)</f>
        <v/>
      </c>
      <c r="G31" s="323"/>
      <c r="H31" s="322"/>
      <c r="I31" s="315"/>
      <c r="J31" s="315"/>
      <c r="K31" s="322"/>
      <c r="L31" s="315"/>
      <c r="M31" s="313"/>
      <c r="N31" s="319" t="s">
        <v>16</v>
      </c>
      <c r="O31" s="319" t="s">
        <v>16</v>
      </c>
      <c r="P31" s="321"/>
      <c r="Q31" s="320"/>
      <c r="R31" s="313"/>
      <c r="S31" s="319"/>
      <c r="T31" s="319"/>
      <c r="U31" s="319"/>
      <c r="V31" s="319"/>
      <c r="W31" s="319"/>
      <c r="X31" s="319"/>
      <c r="Y31" s="319"/>
      <c r="Z31" s="316" t="str">
        <f>IF(Y31="Yes","Please ensure the UI has been upgraded","")</f>
        <v/>
      </c>
    </row>
    <row r="32" spans="1:26" s="308" customFormat="1" ht="15.75" customHeight="1">
      <c r="A32" s="308" t="s">
        <v>305</v>
      </c>
      <c r="B32" s="322"/>
      <c r="C32" s="315" t="s">
        <v>309</v>
      </c>
      <c r="D32" s="315">
        <f>B32</f>
        <v>0</v>
      </c>
      <c r="E32" s="322" t="s">
        <v>309</v>
      </c>
      <c r="F32" s="315" t="str">
        <f>IF(B32="","",B32)</f>
        <v/>
      </c>
      <c r="G32" s="323"/>
      <c r="H32" s="322"/>
      <c r="I32" s="315"/>
      <c r="J32" s="315"/>
      <c r="K32" s="322"/>
      <c r="L32" s="315"/>
      <c r="M32" s="313"/>
      <c r="N32" s="319" t="s">
        <v>16</v>
      </c>
      <c r="O32" s="319" t="s">
        <v>16</v>
      </c>
      <c r="P32" s="321"/>
      <c r="Q32" s="320"/>
      <c r="R32" s="313"/>
      <c r="S32" s="319"/>
      <c r="T32" s="319"/>
      <c r="U32" s="319"/>
      <c r="V32" s="319"/>
      <c r="W32" s="319"/>
      <c r="X32" s="319"/>
      <c r="Y32" s="319"/>
      <c r="Z32" s="316" t="str">
        <f>IF(Y32="Yes","Please ensure the UI has been upgraded","")</f>
        <v/>
      </c>
    </row>
    <row r="33" spans="1:26" s="308" customFormat="1" ht="15.75" customHeight="1">
      <c r="A33" s="308" t="s">
        <v>309</v>
      </c>
      <c r="B33" s="322"/>
      <c r="C33" s="315" t="s">
        <v>309</v>
      </c>
      <c r="D33" s="315">
        <f>B33</f>
        <v>0</v>
      </c>
      <c r="E33" s="322" t="s">
        <v>309</v>
      </c>
      <c r="F33" s="315" t="str">
        <f>IF(B33="","",B33)</f>
        <v/>
      </c>
      <c r="G33" s="323"/>
      <c r="H33" s="322"/>
      <c r="I33" s="315"/>
      <c r="J33" s="315"/>
      <c r="K33" s="322"/>
      <c r="L33" s="315"/>
      <c r="M33" s="313"/>
      <c r="N33" s="319" t="s">
        <v>16</v>
      </c>
      <c r="O33" s="319" t="s">
        <v>16</v>
      </c>
      <c r="P33" s="321"/>
      <c r="Q33" s="320"/>
      <c r="R33" s="313"/>
      <c r="S33" s="319"/>
      <c r="T33" s="319"/>
      <c r="U33" s="319"/>
      <c r="V33" s="319"/>
      <c r="W33" s="319"/>
      <c r="X33" s="319"/>
      <c r="Y33" s="319"/>
      <c r="Z33" s="316" t="str">
        <f>IF(Y33="Yes","Please ensure the UI has been upgraded","")</f>
        <v/>
      </c>
    </row>
    <row r="34" spans="1:26" s="308" customFormat="1" ht="15.75" customHeight="1">
      <c r="A34" s="308" t="s">
        <v>371</v>
      </c>
      <c r="B34" s="322"/>
      <c r="C34" s="315" t="s">
        <v>309</v>
      </c>
      <c r="D34" s="315">
        <f>B34</f>
        <v>0</v>
      </c>
      <c r="E34" s="322" t="s">
        <v>309</v>
      </c>
      <c r="F34" s="315" t="str">
        <f>IF(B34="","",B34)</f>
        <v/>
      </c>
      <c r="G34" s="323"/>
      <c r="H34" s="322"/>
      <c r="I34" s="315"/>
      <c r="J34" s="315"/>
      <c r="K34" s="322"/>
      <c r="L34" s="315"/>
      <c r="M34" s="313"/>
      <c r="N34" s="319" t="s">
        <v>16</v>
      </c>
      <c r="O34" s="319" t="s">
        <v>16</v>
      </c>
      <c r="P34" s="321"/>
      <c r="Q34" s="320"/>
      <c r="R34" s="313"/>
      <c r="S34" s="319"/>
      <c r="T34" s="319"/>
      <c r="U34" s="319"/>
      <c r="V34" s="319"/>
      <c r="W34" s="319"/>
      <c r="X34" s="319"/>
      <c r="Y34" s="319"/>
      <c r="Z34" s="316" t="str">
        <f>IF(Y34="Yes","Please ensure the UI has been upgraded","")</f>
        <v/>
      </c>
    </row>
    <row r="35" spans="1:26" s="308" customFormat="1" ht="15.75" customHeight="1">
      <c r="A35" s="308" t="s">
        <v>361</v>
      </c>
      <c r="B35" s="322"/>
      <c r="C35" s="315" t="s">
        <v>309</v>
      </c>
      <c r="D35" s="315">
        <f>B35</f>
        <v>0</v>
      </c>
      <c r="E35" s="322" t="s">
        <v>309</v>
      </c>
      <c r="F35" s="315" t="str">
        <f>IF(B35="","",B35)</f>
        <v/>
      </c>
      <c r="G35" s="323"/>
      <c r="H35" s="322"/>
      <c r="I35" s="315"/>
      <c r="J35" s="315"/>
      <c r="K35" s="322"/>
      <c r="L35" s="315"/>
      <c r="M35" s="313"/>
      <c r="N35" s="319" t="s">
        <v>16</v>
      </c>
      <c r="O35" s="319" t="s">
        <v>16</v>
      </c>
      <c r="P35" s="321"/>
      <c r="Q35" s="320"/>
      <c r="R35" s="313"/>
      <c r="S35" s="319"/>
      <c r="T35" s="319"/>
      <c r="U35" s="319"/>
      <c r="V35" s="319"/>
      <c r="W35" s="319"/>
      <c r="X35" s="319"/>
      <c r="Y35" s="319"/>
      <c r="Z35" s="316" t="str">
        <f>IF(Y35="Yes","Please ensure the UI has been upgraded","")</f>
        <v/>
      </c>
    </row>
    <row r="36" spans="1:26" s="308" customFormat="1" ht="15.75" customHeight="1">
      <c r="A36" s="308" t="s">
        <v>373</v>
      </c>
      <c r="B36" s="322"/>
      <c r="C36" s="315" t="s">
        <v>309</v>
      </c>
      <c r="D36" s="315">
        <f>B36</f>
        <v>0</v>
      </c>
      <c r="E36" s="322" t="s">
        <v>309</v>
      </c>
      <c r="F36" s="315" t="str">
        <f>IF(B36="","",B36)</f>
        <v/>
      </c>
      <c r="G36" s="323"/>
      <c r="H36" s="322"/>
      <c r="I36" s="315"/>
      <c r="J36" s="315"/>
      <c r="K36" s="322"/>
      <c r="L36" s="315"/>
      <c r="M36" s="313"/>
      <c r="N36" s="319" t="s">
        <v>16</v>
      </c>
      <c r="O36" s="319" t="s">
        <v>16</v>
      </c>
      <c r="P36" s="321"/>
      <c r="Q36" s="320"/>
      <c r="R36" s="313"/>
      <c r="S36" s="319"/>
      <c r="T36" s="319"/>
      <c r="U36" s="319"/>
      <c r="V36" s="319"/>
      <c r="W36" s="319"/>
      <c r="X36" s="319"/>
      <c r="Y36" s="319"/>
      <c r="Z36" s="316" t="str">
        <f>IF(Y36="Yes","Please ensure the UI has been upgraded","")</f>
        <v/>
      </c>
    </row>
    <row r="37" spans="1:26" s="308" customFormat="1" ht="15.75" customHeight="1">
      <c r="A37" s="308" t="s">
        <v>375</v>
      </c>
      <c r="B37" s="322"/>
      <c r="C37" s="315" t="s">
        <v>309</v>
      </c>
      <c r="D37" s="315">
        <f>B37</f>
        <v>0</v>
      </c>
      <c r="E37" s="322" t="s">
        <v>309</v>
      </c>
      <c r="F37" s="315" t="str">
        <f>IF(B37="","",B37)</f>
        <v/>
      </c>
      <c r="G37" s="323"/>
      <c r="H37" s="322"/>
      <c r="I37" s="315"/>
      <c r="J37" s="315"/>
      <c r="K37" s="322"/>
      <c r="L37" s="315"/>
      <c r="M37" s="313"/>
      <c r="N37" s="319" t="s">
        <v>16</v>
      </c>
      <c r="O37" s="319" t="s">
        <v>16</v>
      </c>
      <c r="P37" s="321"/>
      <c r="Q37" s="320"/>
      <c r="R37" s="313"/>
      <c r="S37" s="319"/>
      <c r="T37" s="319"/>
      <c r="U37" s="319"/>
      <c r="V37" s="319"/>
      <c r="W37" s="319"/>
      <c r="X37" s="319"/>
      <c r="Y37" s="319"/>
      <c r="Z37" s="316" t="str">
        <f>IF(Y37="Yes","Please ensure the UI has been upgraded","")</f>
        <v/>
      </c>
    </row>
    <row r="38" spans="1:26" s="308" customFormat="1" ht="15.75" customHeight="1">
      <c r="A38" s="308" t="s">
        <v>374</v>
      </c>
      <c r="B38" s="322"/>
      <c r="C38" s="315" t="s">
        <v>309</v>
      </c>
      <c r="D38" s="315">
        <f>B38</f>
        <v>0</v>
      </c>
      <c r="E38" s="322" t="s">
        <v>309</v>
      </c>
      <c r="F38" s="315" t="str">
        <f>IF(B38="","",B38)</f>
        <v/>
      </c>
      <c r="G38" s="323"/>
      <c r="H38" s="322"/>
      <c r="I38" s="315"/>
      <c r="J38" s="315"/>
      <c r="K38" s="322"/>
      <c r="L38" s="315"/>
      <c r="M38" s="313"/>
      <c r="N38" s="319" t="s">
        <v>16</v>
      </c>
      <c r="O38" s="319" t="s">
        <v>16</v>
      </c>
      <c r="P38" s="321"/>
      <c r="Q38" s="320"/>
      <c r="R38" s="313"/>
      <c r="S38" s="319"/>
      <c r="T38" s="319"/>
      <c r="U38" s="319"/>
      <c r="V38" s="319"/>
      <c r="W38" s="319"/>
      <c r="X38" s="319"/>
      <c r="Y38" s="319"/>
      <c r="Z38" s="316" t="str">
        <f>IF(Y38="Yes","Please ensure the UI has been upgraded","")</f>
        <v/>
      </c>
    </row>
    <row r="39" spans="1:26" s="308" customFormat="1" ht="15.75" customHeight="1">
      <c r="A39"/>
      <c r="B39" s="322"/>
      <c r="C39" s="315" t="s">
        <v>309</v>
      </c>
      <c r="D39" s="315">
        <f>B39</f>
        <v>0</v>
      </c>
      <c r="E39" s="322" t="s">
        <v>309</v>
      </c>
      <c r="F39" s="315" t="str">
        <f>IF(B39="","",B39)</f>
        <v/>
      </c>
      <c r="G39" s="323"/>
      <c r="H39" s="322"/>
      <c r="I39" s="315"/>
      <c r="J39" s="315"/>
      <c r="K39" s="322"/>
      <c r="L39" s="315"/>
      <c r="M39" s="313"/>
      <c r="N39" s="319" t="s">
        <v>16</v>
      </c>
      <c r="O39" s="319" t="s">
        <v>16</v>
      </c>
      <c r="P39" s="321"/>
      <c r="Q39" s="320"/>
      <c r="R39" s="313"/>
      <c r="S39" s="319"/>
      <c r="T39" s="319"/>
      <c r="U39" s="319"/>
      <c r="V39" s="319"/>
      <c r="W39" s="319"/>
      <c r="X39" s="319"/>
      <c r="Y39" s="319"/>
      <c r="Z39" s="316" t="str">
        <f>IF(Y39="Yes","Please ensure the UI has been upgraded","")</f>
        <v/>
      </c>
    </row>
    <row r="40" spans="1:26" s="308" customFormat="1" ht="15.75" customHeight="1">
      <c r="A40"/>
      <c r="B40" s="322"/>
      <c r="C40" s="315" t="s">
        <v>309</v>
      </c>
      <c r="D40" s="315">
        <f>B40</f>
        <v>0</v>
      </c>
      <c r="E40" s="322" t="s">
        <v>309</v>
      </c>
      <c r="F40" s="315" t="str">
        <f>IF(B40="","",B40)</f>
        <v/>
      </c>
      <c r="G40" s="323"/>
      <c r="H40" s="322"/>
      <c r="I40" s="315"/>
      <c r="J40" s="315"/>
      <c r="K40" s="322"/>
      <c r="L40" s="315"/>
      <c r="M40" s="313"/>
      <c r="N40" s="319" t="s">
        <v>16</v>
      </c>
      <c r="O40" s="319" t="s">
        <v>16</v>
      </c>
      <c r="P40" s="321"/>
      <c r="Q40" s="320"/>
      <c r="R40" s="313"/>
      <c r="S40" s="319"/>
      <c r="T40" s="319"/>
      <c r="U40" s="319"/>
      <c r="V40" s="319"/>
      <c r="W40" s="319"/>
      <c r="X40" s="319"/>
      <c r="Y40" s="319"/>
      <c r="Z40" s="316" t="str">
        <f>IF(Y40="Yes","Please ensure the UI has been upgraded","")</f>
        <v/>
      </c>
    </row>
    <row r="41" spans="1:26" s="308" customFormat="1" ht="15.75" customHeight="1">
      <c r="A41"/>
      <c r="B41" s="322"/>
      <c r="C41" s="315" t="s">
        <v>309</v>
      </c>
      <c r="D41" s="315">
        <f>B41</f>
        <v>0</v>
      </c>
      <c r="E41" s="322" t="s">
        <v>309</v>
      </c>
      <c r="F41" s="315" t="str">
        <f>IF(B41="","",B41)</f>
        <v/>
      </c>
      <c r="G41" s="323"/>
      <c r="H41" s="322"/>
      <c r="I41" s="315"/>
      <c r="J41" s="315"/>
      <c r="K41" s="322"/>
      <c r="L41" s="315"/>
      <c r="M41" s="313"/>
      <c r="N41" s="319" t="s">
        <v>16</v>
      </c>
      <c r="O41" s="319" t="s">
        <v>16</v>
      </c>
      <c r="P41" s="321"/>
      <c r="Q41" s="320"/>
      <c r="R41" s="313"/>
      <c r="S41" s="319"/>
      <c r="T41" s="319"/>
      <c r="U41" s="319"/>
      <c r="V41" s="319"/>
      <c r="W41" s="319"/>
      <c r="X41" s="319"/>
      <c r="Y41" s="319"/>
      <c r="Z41" s="316" t="str">
        <f>IF(Y41="Yes","Please ensure the UI has been upgraded","")</f>
        <v/>
      </c>
    </row>
    <row r="42" spans="1:26" s="308" customFormat="1" ht="15.75" customHeight="1">
      <c r="A42"/>
      <c r="B42" s="322"/>
      <c r="C42" s="315" t="s">
        <v>309</v>
      </c>
      <c r="D42" s="315">
        <f>B42</f>
        <v>0</v>
      </c>
      <c r="E42" s="322" t="s">
        <v>309</v>
      </c>
      <c r="F42" s="315" t="str">
        <f>IF(B42="","",B42)</f>
        <v/>
      </c>
      <c r="G42" s="323"/>
      <c r="H42" s="322"/>
      <c r="I42" s="315"/>
      <c r="J42" s="315"/>
      <c r="K42" s="322"/>
      <c r="L42" s="315"/>
      <c r="M42" s="313"/>
      <c r="N42" s="319" t="s">
        <v>16</v>
      </c>
      <c r="O42" s="319" t="s">
        <v>16</v>
      </c>
      <c r="P42" s="321"/>
      <c r="Q42" s="320"/>
      <c r="R42" s="313"/>
      <c r="S42" s="319"/>
      <c r="T42" s="319"/>
      <c r="U42" s="319"/>
      <c r="V42" s="319"/>
      <c r="W42" s="319"/>
      <c r="X42" s="319"/>
      <c r="Y42" s="319"/>
      <c r="Z42" s="316"/>
    </row>
    <row r="43" spans="1:26" s="308" customFormat="1" ht="15.75" customHeight="1">
      <c r="A43"/>
      <c r="B43" s="322"/>
      <c r="C43" s="315" t="s">
        <v>309</v>
      </c>
      <c r="D43" s="315">
        <f>B43</f>
        <v>0</v>
      </c>
      <c r="E43" s="322" t="s">
        <v>309</v>
      </c>
      <c r="F43" s="315" t="str">
        <f>IF(B43="","",B43)</f>
        <v/>
      </c>
      <c r="G43" s="323"/>
      <c r="H43" s="322"/>
      <c r="I43" s="315"/>
      <c r="J43" s="315"/>
      <c r="K43" s="322"/>
      <c r="L43" s="315"/>
      <c r="M43" s="313"/>
      <c r="N43" s="319" t="s">
        <v>16</v>
      </c>
      <c r="O43" s="319" t="s">
        <v>16</v>
      </c>
      <c r="P43" s="321"/>
      <c r="Q43" s="320"/>
      <c r="R43" s="313"/>
      <c r="S43" s="319"/>
      <c r="T43" s="319"/>
      <c r="U43" s="319"/>
      <c r="V43" s="319"/>
      <c r="W43" s="319"/>
      <c r="X43" s="319"/>
      <c r="Y43" s="319"/>
      <c r="Z43" s="316"/>
    </row>
    <row r="44" spans="1:26" s="308" customFormat="1" ht="15.75" customHeight="1">
      <c r="A44"/>
      <c r="B44" s="322"/>
      <c r="C44" s="315" t="s">
        <v>309</v>
      </c>
      <c r="D44" s="315">
        <f>B44</f>
        <v>0</v>
      </c>
      <c r="E44" s="322" t="s">
        <v>309</v>
      </c>
      <c r="F44" s="315" t="str">
        <f>IF(B44="","",B44)</f>
        <v/>
      </c>
      <c r="G44" s="323"/>
      <c r="H44" s="322"/>
      <c r="I44" s="315"/>
      <c r="J44" s="315"/>
      <c r="K44" s="322"/>
      <c r="L44" s="315"/>
      <c r="M44" s="313"/>
      <c r="N44" s="319" t="s">
        <v>16</v>
      </c>
      <c r="O44" s="319" t="s">
        <v>16</v>
      </c>
      <c r="P44" s="321"/>
      <c r="Q44" s="320"/>
      <c r="R44" s="313"/>
      <c r="S44" s="319"/>
      <c r="T44" s="319"/>
      <c r="U44" s="319"/>
      <c r="V44" s="319"/>
      <c r="W44" s="319"/>
      <c r="X44" s="319"/>
      <c r="Y44" s="319"/>
      <c r="Z44" s="316"/>
    </row>
    <row r="45" spans="1:26" s="308" customFormat="1" ht="15.75" customHeight="1">
      <c r="A45"/>
      <c r="B45" s="322"/>
      <c r="C45" s="315" t="s">
        <v>309</v>
      </c>
      <c r="D45" s="315">
        <f>B45</f>
        <v>0</v>
      </c>
      <c r="E45" s="322" t="s">
        <v>309</v>
      </c>
      <c r="F45" s="315" t="str">
        <f>IF(B45="","",B45)</f>
        <v/>
      </c>
      <c r="G45" s="323"/>
      <c r="H45" s="322"/>
      <c r="I45" s="315"/>
      <c r="J45" s="315"/>
      <c r="K45" s="322"/>
      <c r="L45" s="315"/>
      <c r="M45" s="313"/>
      <c r="N45" s="319" t="s">
        <v>16</v>
      </c>
      <c r="O45" s="319" t="s">
        <v>16</v>
      </c>
      <c r="P45" s="321"/>
      <c r="Q45" s="320"/>
      <c r="R45" s="313"/>
      <c r="S45" s="319"/>
      <c r="T45" s="319"/>
      <c r="U45" s="319"/>
      <c r="V45" s="319"/>
      <c r="W45" s="319"/>
      <c r="X45" s="319"/>
      <c r="Y45" s="319"/>
      <c r="Z45" s="316"/>
    </row>
    <row r="46" spans="1:26" s="308" customFormat="1" ht="15.75" customHeight="1">
      <c r="A46" s="308" t="s">
        <v>309</v>
      </c>
      <c r="B46" s="322"/>
      <c r="C46" s="315" t="s">
        <v>309</v>
      </c>
      <c r="D46" s="315">
        <f>B46</f>
        <v>0</v>
      </c>
      <c r="E46" s="322" t="s">
        <v>309</v>
      </c>
      <c r="F46" s="315" t="str">
        <f>IF(B46="","",B46)</f>
        <v/>
      </c>
      <c r="G46" s="323"/>
      <c r="H46" s="322"/>
      <c r="I46" s="315"/>
      <c r="J46" s="315"/>
      <c r="K46" s="322"/>
      <c r="L46" s="315"/>
      <c r="M46" s="313"/>
      <c r="N46" s="319" t="s">
        <v>16</v>
      </c>
      <c r="O46" s="319" t="s">
        <v>16</v>
      </c>
      <c r="P46" s="321"/>
      <c r="Q46" s="320"/>
      <c r="R46" s="313"/>
      <c r="S46" s="319"/>
      <c r="T46" s="319"/>
      <c r="U46" s="319"/>
      <c r="V46" s="319"/>
      <c r="W46" s="319"/>
      <c r="X46" s="319"/>
      <c r="Y46" s="319"/>
      <c r="Z46" s="316"/>
    </row>
    <row r="47" spans="1:26" s="308" customFormat="1" ht="15.75" customHeight="1">
      <c r="A47" s="308" t="s">
        <v>308</v>
      </c>
      <c r="B47" s="322"/>
      <c r="C47" s="315" t="s">
        <v>309</v>
      </c>
      <c r="D47" s="315">
        <f>B47</f>
        <v>0</v>
      </c>
      <c r="E47" s="322" t="s">
        <v>309</v>
      </c>
      <c r="F47" s="315" t="str">
        <f>IF(B47="","",B47)</f>
        <v/>
      </c>
      <c r="G47" s="323"/>
      <c r="H47" s="322"/>
      <c r="I47" s="315"/>
      <c r="J47" s="315"/>
      <c r="K47" s="322"/>
      <c r="L47" s="315"/>
      <c r="M47" s="313"/>
      <c r="N47" s="319" t="s">
        <v>16</v>
      </c>
      <c r="O47" s="319" t="s">
        <v>16</v>
      </c>
      <c r="P47" s="321"/>
      <c r="Q47" s="320"/>
      <c r="R47" s="313"/>
      <c r="S47" s="319"/>
      <c r="T47" s="319"/>
      <c r="U47" s="319"/>
      <c r="V47" s="319"/>
      <c r="W47" s="319"/>
      <c r="X47" s="319"/>
      <c r="Y47" s="319"/>
      <c r="Z47" s="316" t="str">
        <f>IF(Y47="Yes","Please ensure the UI has been upgraded","")</f>
        <v/>
      </c>
    </row>
    <row r="48" spans="1:26" s="308" customFormat="1" ht="15.75" customHeight="1">
      <c r="A48" s="308" t="s">
        <v>307</v>
      </c>
      <c r="B48" s="322"/>
      <c r="C48" s="315" t="s">
        <v>309</v>
      </c>
      <c r="D48" s="315">
        <f>B48</f>
        <v>0</v>
      </c>
      <c r="E48" s="322" t="s">
        <v>309</v>
      </c>
      <c r="F48" s="315" t="str">
        <f>IF(B48="","",B48)</f>
        <v/>
      </c>
      <c r="G48" s="323"/>
      <c r="H48" s="322"/>
      <c r="I48" s="315"/>
      <c r="J48" s="315"/>
      <c r="K48" s="322"/>
      <c r="L48" s="315"/>
      <c r="M48" s="313"/>
      <c r="N48" s="319" t="s">
        <v>16</v>
      </c>
      <c r="O48" s="319" t="s">
        <v>16</v>
      </c>
      <c r="P48" s="321"/>
      <c r="Q48" s="320"/>
      <c r="R48" s="313"/>
      <c r="S48" s="319"/>
      <c r="T48" s="319"/>
      <c r="U48" s="319"/>
      <c r="V48" s="319"/>
      <c r="W48" s="319"/>
      <c r="X48" s="319"/>
      <c r="Y48" s="319"/>
      <c r="Z48" s="316" t="str">
        <f>IF(Y48="Yes","Please ensure the UI has been upgraded","")</f>
        <v/>
      </c>
    </row>
    <row r="49" spans="1:26" s="308" customFormat="1" ht="15.75" customHeight="1">
      <c r="A49" s="308" t="s">
        <v>306</v>
      </c>
      <c r="B49" s="322"/>
      <c r="C49" s="315" t="s">
        <v>309</v>
      </c>
      <c r="D49" s="315">
        <f>B49</f>
        <v>0</v>
      </c>
      <c r="E49" s="322" t="s">
        <v>309</v>
      </c>
      <c r="F49" s="315" t="str">
        <f>IF(B49="","",B49)</f>
        <v/>
      </c>
      <c r="G49" s="323"/>
      <c r="H49" s="322"/>
      <c r="I49" s="315"/>
      <c r="J49" s="315"/>
      <c r="K49" s="322"/>
      <c r="L49" s="315"/>
      <c r="M49" s="313"/>
      <c r="N49" s="319" t="s">
        <v>16</v>
      </c>
      <c r="O49" s="319" t="s">
        <v>16</v>
      </c>
      <c r="P49" s="321"/>
      <c r="Q49" s="320"/>
      <c r="R49" s="313"/>
      <c r="S49" s="319"/>
      <c r="T49" s="319"/>
      <c r="U49" s="319"/>
      <c r="V49" s="319"/>
      <c r="W49" s="319"/>
      <c r="X49" s="319"/>
      <c r="Y49" s="319"/>
      <c r="Z49" s="316" t="str">
        <f>IF(Y49="Yes","Please ensure the UI has been upgraded","")</f>
        <v/>
      </c>
    </row>
    <row r="50" spans="1:26" s="308" customFormat="1" ht="15.75" customHeight="1">
      <c r="A50" s="308" t="s">
        <v>305</v>
      </c>
      <c r="B50" s="322"/>
      <c r="C50" s="315" t="s">
        <v>309</v>
      </c>
      <c r="D50" s="315">
        <f>B50</f>
        <v>0</v>
      </c>
      <c r="E50" s="322" t="s">
        <v>309</v>
      </c>
      <c r="F50" s="315" t="str">
        <f>IF(B50="","",B50)</f>
        <v/>
      </c>
      <c r="G50" s="323"/>
      <c r="H50" s="322"/>
      <c r="I50" s="315"/>
      <c r="J50" s="315"/>
      <c r="K50" s="322"/>
      <c r="L50" s="315"/>
      <c r="M50" s="313"/>
      <c r="N50" s="319" t="s">
        <v>16</v>
      </c>
      <c r="O50" s="319" t="s">
        <v>16</v>
      </c>
      <c r="P50" s="321"/>
      <c r="Q50" s="320"/>
      <c r="R50" s="313"/>
      <c r="S50" s="319"/>
      <c r="T50" s="319"/>
      <c r="U50" s="319"/>
      <c r="V50" s="319"/>
      <c r="W50" s="319"/>
      <c r="X50" s="319"/>
      <c r="Y50" s="319"/>
      <c r="Z50" s="316" t="str">
        <f>IF(Y50="Yes","Please ensure the UI has been upgraded","")</f>
        <v/>
      </c>
    </row>
    <row r="51" spans="1:26" s="308" customFormat="1" ht="15.75" customHeight="1">
      <c r="A51" s="308" t="s">
        <v>304</v>
      </c>
      <c r="B51" s="322"/>
      <c r="C51" s="315" t="s">
        <v>309</v>
      </c>
      <c r="D51" s="315">
        <f>B51</f>
        <v>0</v>
      </c>
      <c r="E51" s="322" t="s">
        <v>309</v>
      </c>
      <c r="F51" s="315" t="str">
        <f>IF(B51="","",B51)</f>
        <v/>
      </c>
      <c r="G51" s="323"/>
      <c r="H51" s="322"/>
      <c r="I51" s="315"/>
      <c r="J51" s="315"/>
      <c r="K51" s="322"/>
      <c r="L51" s="315"/>
      <c r="M51" s="313"/>
      <c r="N51" s="319" t="s">
        <v>16</v>
      </c>
      <c r="O51" s="319" t="s">
        <v>16</v>
      </c>
      <c r="P51" s="321"/>
      <c r="Q51" s="320"/>
      <c r="R51" s="313"/>
      <c r="S51" s="319"/>
      <c r="T51" s="319"/>
      <c r="U51" s="319"/>
      <c r="V51" s="319"/>
      <c r="W51" s="319"/>
      <c r="X51" s="319"/>
      <c r="Y51" s="319"/>
      <c r="Z51" s="316" t="str">
        <f>IF(Y51="Yes","Please ensure the UI has been upgraded","")</f>
        <v/>
      </c>
    </row>
    <row r="52" spans="1:26" s="308" customFormat="1" ht="15.75" customHeight="1">
      <c r="A52" s="308" t="s">
        <v>303</v>
      </c>
      <c r="B52" s="322"/>
      <c r="C52" s="315" t="s">
        <v>309</v>
      </c>
      <c r="D52" s="315">
        <f>B52</f>
        <v>0</v>
      </c>
      <c r="E52" s="322" t="s">
        <v>309</v>
      </c>
      <c r="F52" s="315" t="str">
        <f>IF(B52="","",B52)</f>
        <v/>
      </c>
      <c r="G52" s="323"/>
      <c r="H52" s="322"/>
      <c r="I52" s="315"/>
      <c r="J52" s="315"/>
      <c r="K52" s="322"/>
      <c r="L52" s="315"/>
      <c r="M52" s="313"/>
      <c r="N52" s="319" t="s">
        <v>16</v>
      </c>
      <c r="O52" s="319" t="s">
        <v>16</v>
      </c>
      <c r="P52" s="321"/>
      <c r="Q52" s="320"/>
      <c r="R52" s="313"/>
      <c r="S52" s="319"/>
      <c r="T52" s="319"/>
      <c r="U52" s="319"/>
      <c r="V52" s="319"/>
      <c r="W52" s="319"/>
      <c r="X52" s="319"/>
      <c r="Y52" s="319"/>
      <c r="Z52" s="316" t="str">
        <f>IF(Y52="Yes","Please ensure the UI has been upgraded","")</f>
        <v/>
      </c>
    </row>
    <row r="53" spans="1:26" s="308" customFormat="1" ht="15.75" customHeight="1">
      <c r="A53" s="308" t="s">
        <v>302</v>
      </c>
      <c r="B53" s="322"/>
      <c r="C53" s="315" t="s">
        <v>309</v>
      </c>
      <c r="D53" s="315">
        <f>B53</f>
        <v>0</v>
      </c>
      <c r="E53" s="322" t="s">
        <v>309</v>
      </c>
      <c r="F53" s="315" t="str">
        <f>IF(B53="","",B53)</f>
        <v/>
      </c>
      <c r="G53" s="323"/>
      <c r="H53" s="322"/>
      <c r="I53" s="315"/>
      <c r="J53" s="315"/>
      <c r="K53" s="322"/>
      <c r="L53" s="315"/>
      <c r="M53" s="313"/>
      <c r="N53" s="319" t="s">
        <v>16</v>
      </c>
      <c r="O53" s="319" t="s">
        <v>16</v>
      </c>
      <c r="P53" s="321"/>
      <c r="Q53" s="320"/>
      <c r="R53" s="313"/>
      <c r="S53" s="319"/>
      <c r="T53" s="319"/>
      <c r="U53" s="319"/>
      <c r="V53" s="319"/>
      <c r="W53" s="319"/>
      <c r="X53" s="319"/>
      <c r="Y53" s="319"/>
      <c r="Z53" s="316" t="str">
        <f>IF(Y53="Yes","Please ensure the UI has been upgraded","")</f>
        <v/>
      </c>
    </row>
    <row r="54" spans="1:26" s="308" customFormat="1" ht="15.75" customHeight="1">
      <c r="A54" s="308" t="s">
        <v>301</v>
      </c>
      <c r="B54" s="322"/>
      <c r="C54" s="315" t="s">
        <v>309</v>
      </c>
      <c r="D54" s="315">
        <f>B54</f>
        <v>0</v>
      </c>
      <c r="E54" s="322" t="s">
        <v>309</v>
      </c>
      <c r="F54" s="315" t="str">
        <f>IF(B54="","",B54)</f>
        <v/>
      </c>
      <c r="G54" s="323"/>
      <c r="H54" s="322"/>
      <c r="I54" s="315"/>
      <c r="J54" s="315"/>
      <c r="K54" s="322"/>
      <c r="L54" s="315"/>
      <c r="M54" s="313"/>
      <c r="N54" s="319" t="s">
        <v>16</v>
      </c>
      <c r="O54" s="319" t="s">
        <v>16</v>
      </c>
      <c r="P54" s="321"/>
      <c r="Q54" s="320"/>
      <c r="R54" s="313"/>
      <c r="S54" s="319"/>
      <c r="T54" s="319"/>
      <c r="U54" s="319"/>
      <c r="V54" s="319"/>
      <c r="W54" s="319"/>
      <c r="X54" s="319"/>
      <c r="Y54" s="319"/>
      <c r="Z54" s="316" t="str">
        <f>IF(Y54="Yes","Please ensure the UI has been upgraded","")</f>
        <v/>
      </c>
    </row>
    <row r="55" spans="2:26" s="308" customFormat="1" ht="15.75" customHeight="1">
      <c r="B55" s="322"/>
      <c r="C55" s="315" t="s">
        <v>309</v>
      </c>
      <c r="D55" s="315">
        <f>B55</f>
        <v>0</v>
      </c>
      <c r="E55" s="322" t="s">
        <v>309</v>
      </c>
      <c r="F55" s="315" t="str">
        <f>IF(B55="","",B55)</f>
        <v/>
      </c>
      <c r="G55" s="323"/>
      <c r="H55" s="322"/>
      <c r="I55" s="315"/>
      <c r="J55" s="315"/>
      <c r="K55" s="322"/>
      <c r="L55" s="315"/>
      <c r="M55" s="313"/>
      <c r="N55" s="319" t="s">
        <v>16</v>
      </c>
      <c r="O55" s="319" t="s">
        <v>16</v>
      </c>
      <c r="P55" s="321"/>
      <c r="Q55" s="320"/>
      <c r="R55" s="313"/>
      <c r="S55" s="319"/>
      <c r="T55" s="319"/>
      <c r="U55" s="319"/>
      <c r="V55" s="319"/>
      <c r="W55" s="319"/>
      <c r="X55" s="319"/>
      <c r="Y55" s="319"/>
      <c r="Z55" s="316" t="str">
        <f>IF(Y55="Yes","Please ensure the UI has been upgraded","")</f>
        <v/>
      </c>
    </row>
    <row r="56" spans="1:26" s="308" customFormat="1" ht="15.75" customHeight="1">
      <c r="A56" s="308" t="s">
        <v>16</v>
      </c>
      <c r="B56" s="322"/>
      <c r="C56" s="315" t="s">
        <v>309</v>
      </c>
      <c r="D56" s="315">
        <f>B56</f>
        <v>0</v>
      </c>
      <c r="E56" s="322" t="s">
        <v>309</v>
      </c>
      <c r="F56" s="315" t="str">
        <f>IF(B56="","",B56)</f>
        <v/>
      </c>
      <c r="G56" s="323"/>
      <c r="H56" s="322"/>
      <c r="I56" s="315"/>
      <c r="J56" s="315"/>
      <c r="K56" s="322"/>
      <c r="L56" s="315"/>
      <c r="M56" s="313"/>
      <c r="N56" s="319" t="s">
        <v>16</v>
      </c>
      <c r="O56" s="319" t="s">
        <v>16</v>
      </c>
      <c r="P56" s="321"/>
      <c r="Q56" s="320"/>
      <c r="R56" s="313"/>
      <c r="S56" s="319"/>
      <c r="T56" s="319"/>
      <c r="U56" s="319"/>
      <c r="V56" s="319"/>
      <c r="W56" s="319"/>
      <c r="X56" s="319"/>
      <c r="Y56" s="319"/>
      <c r="Z56" s="316" t="str">
        <f>IF(Y56="Yes","Please ensure the UI has been upgraded","")</f>
        <v/>
      </c>
    </row>
    <row r="57" spans="1:26" s="308" customFormat="1" ht="15.75" customHeight="1">
      <c r="A57" s="308" t="s">
        <v>360</v>
      </c>
      <c r="B57" s="322"/>
      <c r="C57" s="315" t="s">
        <v>309</v>
      </c>
      <c r="D57" s="315">
        <f>B57</f>
        <v>0</v>
      </c>
      <c r="E57" s="322" t="s">
        <v>309</v>
      </c>
      <c r="F57" s="315" t="str">
        <f>IF(B57="","",B57)</f>
        <v/>
      </c>
      <c r="G57" s="323"/>
      <c r="H57" s="322"/>
      <c r="I57" s="315"/>
      <c r="J57" s="315"/>
      <c r="K57" s="322"/>
      <c r="L57" s="315"/>
      <c r="M57" s="313"/>
      <c r="N57" s="319" t="s">
        <v>16</v>
      </c>
      <c r="O57" s="319" t="s">
        <v>16</v>
      </c>
      <c r="P57" s="321"/>
      <c r="Q57" s="320"/>
      <c r="R57" s="313"/>
      <c r="S57" s="319"/>
      <c r="T57" s="319"/>
      <c r="U57" s="319"/>
      <c r="V57" s="319"/>
      <c r="W57" s="319"/>
      <c r="X57" s="319"/>
      <c r="Y57" s="319"/>
      <c r="Z57" s="316" t="str">
        <f>IF(Y57="Yes","Please ensure the UI has been upgraded","")</f>
        <v/>
      </c>
    </row>
    <row r="58" spans="1:26" s="308" customFormat="1" ht="15.75" customHeight="1">
      <c r="A58" s="308" t="s">
        <v>359</v>
      </c>
      <c r="B58" s="322"/>
      <c r="C58" s="315" t="s">
        <v>309</v>
      </c>
      <c r="D58" s="315">
        <f>B58</f>
        <v>0</v>
      </c>
      <c r="E58" s="322" t="s">
        <v>309</v>
      </c>
      <c r="F58" s="315" t="str">
        <f>IF(B58="","",B58)</f>
        <v/>
      </c>
      <c r="G58" s="323"/>
      <c r="H58" s="322"/>
      <c r="I58" s="315"/>
      <c r="J58" s="315"/>
      <c r="K58" s="322"/>
      <c r="L58" s="315"/>
      <c r="M58" s="313"/>
      <c r="N58" s="319" t="s">
        <v>16</v>
      </c>
      <c r="O58" s="319" t="s">
        <v>16</v>
      </c>
      <c r="P58" s="321"/>
      <c r="Q58" s="320"/>
      <c r="R58" s="313"/>
      <c r="S58" s="319"/>
      <c r="T58" s="319"/>
      <c r="U58" s="319"/>
      <c r="V58" s="319"/>
      <c r="W58" s="319"/>
      <c r="X58" s="319"/>
      <c r="Y58" s="319"/>
      <c r="Z58" s="316" t="str">
        <f>IF(Y58="Yes","Please ensure the UI has been upgraded","")</f>
        <v/>
      </c>
    </row>
    <row r="59" spans="1:26" s="308" customFormat="1" ht="15.75" customHeight="1">
      <c r="A59" s="308" t="s">
        <v>358</v>
      </c>
      <c r="B59" s="322"/>
      <c r="C59" s="315" t="s">
        <v>309</v>
      </c>
      <c r="D59" s="315">
        <f>B59</f>
        <v>0</v>
      </c>
      <c r="E59" s="322" t="s">
        <v>309</v>
      </c>
      <c r="F59" s="315" t="str">
        <f>IF(B59="","",B59)</f>
        <v/>
      </c>
      <c r="G59" s="323"/>
      <c r="H59" s="322"/>
      <c r="I59" s="315"/>
      <c r="J59" s="315"/>
      <c r="K59" s="322"/>
      <c r="L59" s="315"/>
      <c r="M59" s="313"/>
      <c r="N59" s="319" t="s">
        <v>16</v>
      </c>
      <c r="O59" s="319" t="s">
        <v>16</v>
      </c>
      <c r="P59" s="321"/>
      <c r="Q59" s="320"/>
      <c r="R59" s="313"/>
      <c r="S59" s="319"/>
      <c r="T59" s="319"/>
      <c r="U59" s="319"/>
      <c r="V59" s="319"/>
      <c r="W59" s="319"/>
      <c r="X59" s="319"/>
      <c r="Y59" s="319"/>
      <c r="Z59" s="316"/>
    </row>
    <row r="60" spans="1:26" s="308" customFormat="1" ht="15.75" customHeight="1">
      <c r="A60" s="308" t="s">
        <v>357</v>
      </c>
      <c r="B60" s="322"/>
      <c r="C60" s="315" t="s">
        <v>309</v>
      </c>
      <c r="D60" s="315">
        <f>B60</f>
        <v>0</v>
      </c>
      <c r="E60" s="322" t="s">
        <v>309</v>
      </c>
      <c r="F60" s="315" t="str">
        <f>IF(B60="","",B60)</f>
        <v/>
      </c>
      <c r="G60" s="323"/>
      <c r="H60" s="322"/>
      <c r="I60" s="315"/>
      <c r="J60" s="315"/>
      <c r="K60" s="322"/>
      <c r="L60" s="315"/>
      <c r="M60" s="313"/>
      <c r="N60" s="319" t="s">
        <v>16</v>
      </c>
      <c r="O60" s="319" t="s">
        <v>16</v>
      </c>
      <c r="P60" s="321"/>
      <c r="Q60" s="320"/>
      <c r="R60" s="313"/>
      <c r="S60" s="319"/>
      <c r="T60" s="319"/>
      <c r="U60" s="319"/>
      <c r="V60" s="319"/>
      <c r="W60" s="319"/>
      <c r="X60" s="319"/>
      <c r="Y60" s="319"/>
      <c r="Z60" s="316"/>
    </row>
    <row r="61" spans="1:26" s="308" customFormat="1" ht="15.75" customHeight="1">
      <c r="A61" s="308" t="s">
        <v>356</v>
      </c>
      <c r="B61" s="322"/>
      <c r="C61" s="315" t="s">
        <v>309</v>
      </c>
      <c r="D61" s="315">
        <f>B61</f>
        <v>0</v>
      </c>
      <c r="E61" s="322" t="s">
        <v>309</v>
      </c>
      <c r="F61" s="315" t="str">
        <f>IF(B61="","",B61)</f>
        <v/>
      </c>
      <c r="G61" s="323"/>
      <c r="H61" s="322"/>
      <c r="I61" s="315"/>
      <c r="J61" s="315"/>
      <c r="K61" s="322"/>
      <c r="L61" s="315"/>
      <c r="M61" s="313"/>
      <c r="N61" s="319" t="s">
        <v>16</v>
      </c>
      <c r="O61" s="319" t="s">
        <v>16</v>
      </c>
      <c r="P61" s="321"/>
      <c r="Q61" s="320"/>
      <c r="R61" s="313"/>
      <c r="S61" s="319"/>
      <c r="T61" s="319"/>
      <c r="U61" s="319"/>
      <c r="V61" s="319"/>
      <c r="W61" s="319"/>
      <c r="X61" s="319"/>
      <c r="Y61" s="319"/>
      <c r="Z61" s="316" t="str">
        <f>IF(Y61="Yes","Please ensure the UI has been upgraded","")</f>
        <v/>
      </c>
    </row>
    <row r="62" spans="1:26" s="308" customFormat="1" ht="15.75" customHeight="1">
      <c r="A62" s="308" t="s">
        <v>355</v>
      </c>
      <c r="B62" s="322"/>
      <c r="C62" s="315" t="s">
        <v>309</v>
      </c>
      <c r="D62" s="315">
        <f>B62</f>
        <v>0</v>
      </c>
      <c r="E62" s="322" t="s">
        <v>309</v>
      </c>
      <c r="F62" s="315" t="str">
        <f>IF(B62="","",B62)</f>
        <v/>
      </c>
      <c r="G62" s="323"/>
      <c r="H62" s="322"/>
      <c r="I62" s="315"/>
      <c r="J62" s="315"/>
      <c r="K62" s="322"/>
      <c r="L62" s="315"/>
      <c r="M62" s="313"/>
      <c r="N62" s="319" t="s">
        <v>16</v>
      </c>
      <c r="O62" s="319" t="s">
        <v>16</v>
      </c>
      <c r="P62" s="321"/>
      <c r="Q62" s="320"/>
      <c r="R62" s="313"/>
      <c r="S62" s="319"/>
      <c r="T62" s="319"/>
      <c r="U62" s="319"/>
      <c r="V62" s="319"/>
      <c r="W62" s="319"/>
      <c r="X62" s="319"/>
      <c r="Y62" s="319"/>
      <c r="Z62" s="316" t="str">
        <f>IF(Y62="Yes","Please ensure the UI has been upgraded","")</f>
        <v/>
      </c>
    </row>
    <row r="63" spans="2:26" s="308" customFormat="1" ht="15.75" customHeight="1">
      <c r="B63" s="322"/>
      <c r="C63" s="315" t="s">
        <v>309</v>
      </c>
      <c r="D63" s="315">
        <f>B63</f>
        <v>0</v>
      </c>
      <c r="E63" s="322" t="s">
        <v>309</v>
      </c>
      <c r="F63" s="315" t="str">
        <f>IF(B63="","",B63)</f>
        <v/>
      </c>
      <c r="G63" s="323"/>
      <c r="H63" s="322"/>
      <c r="I63" s="315"/>
      <c r="J63" s="315"/>
      <c r="K63" s="322"/>
      <c r="L63" s="315"/>
      <c r="M63" s="313"/>
      <c r="N63" s="319" t="s">
        <v>16</v>
      </c>
      <c r="O63" s="319" t="s">
        <v>16</v>
      </c>
      <c r="P63" s="321"/>
      <c r="Q63" s="320"/>
      <c r="R63" s="313"/>
      <c r="S63" s="319"/>
      <c r="T63" s="319"/>
      <c r="U63" s="319"/>
      <c r="V63" s="319"/>
      <c r="W63" s="319"/>
      <c r="X63" s="319"/>
      <c r="Y63" s="319"/>
      <c r="Z63" s="316" t="str">
        <f>IF(Y63="Yes","Please ensure the UI has been upgraded","")</f>
        <v/>
      </c>
    </row>
    <row r="64" spans="2:26" s="308" customFormat="1" ht="15.75" customHeight="1">
      <c r="B64" s="322"/>
      <c r="C64" s="315" t="s">
        <v>309</v>
      </c>
      <c r="D64" s="315">
        <f>B64</f>
        <v>0</v>
      </c>
      <c r="E64" s="322" t="s">
        <v>309</v>
      </c>
      <c r="F64" s="315" t="str">
        <f>IF(B64="","",B64)</f>
        <v/>
      </c>
      <c r="G64" s="323"/>
      <c r="H64" s="322"/>
      <c r="I64" s="315"/>
      <c r="J64" s="315"/>
      <c r="K64" s="322"/>
      <c r="L64" s="315"/>
      <c r="M64" s="313"/>
      <c r="N64" s="319" t="s">
        <v>16</v>
      </c>
      <c r="O64" s="319" t="s">
        <v>16</v>
      </c>
      <c r="P64" s="321"/>
      <c r="Q64" s="320"/>
      <c r="R64" s="313"/>
      <c r="S64" s="319"/>
      <c r="T64" s="319"/>
      <c r="U64" s="319"/>
      <c r="V64" s="319"/>
      <c r="W64" s="319"/>
      <c r="X64" s="319"/>
      <c r="Y64" s="319"/>
      <c r="Z64" s="316" t="str">
        <f>IF(Y64="Yes","Please ensure the UI has been upgraded","")</f>
        <v/>
      </c>
    </row>
    <row r="65" spans="1:26" s="308" customFormat="1" ht="15.75" customHeight="1">
      <c r="A65" s="308" t="s">
        <v>354</v>
      </c>
      <c r="B65" s="322"/>
      <c r="C65" s="315" t="s">
        <v>309</v>
      </c>
      <c r="D65" s="315">
        <f>B65</f>
        <v>0</v>
      </c>
      <c r="E65" s="322" t="s">
        <v>309</v>
      </c>
      <c r="F65" s="315" t="str">
        <f>IF(B65="","",B65)</f>
        <v/>
      </c>
      <c r="G65" s="323"/>
      <c r="H65" s="322"/>
      <c r="I65" s="315"/>
      <c r="J65" s="315"/>
      <c r="K65" s="322"/>
      <c r="L65" s="315"/>
      <c r="M65" s="313"/>
      <c r="N65" s="319" t="s">
        <v>16</v>
      </c>
      <c r="O65" s="319" t="s">
        <v>16</v>
      </c>
      <c r="P65" s="321"/>
      <c r="Q65" s="320"/>
      <c r="R65" s="313"/>
      <c r="S65" s="319"/>
      <c r="T65" s="319"/>
      <c r="U65" s="319"/>
      <c r="V65" s="319"/>
      <c r="W65" s="319"/>
      <c r="X65" s="319"/>
      <c r="Y65" s="319"/>
      <c r="Z65" s="316" t="str">
        <f>IF(Y65="Yes","Please ensure the UI has been upgraded","")</f>
        <v/>
      </c>
    </row>
    <row r="66" spans="1:26" s="308" customFormat="1" ht="15.75" customHeight="1">
      <c r="A66" s="308" t="s">
        <v>353</v>
      </c>
      <c r="B66" s="322"/>
      <c r="C66" s="315" t="s">
        <v>309</v>
      </c>
      <c r="D66" s="315">
        <f>B66</f>
        <v>0</v>
      </c>
      <c r="E66" s="322" t="s">
        <v>309</v>
      </c>
      <c r="F66" s="315" t="str">
        <f>IF(B66="","",B66)</f>
        <v/>
      </c>
      <c r="G66" s="323"/>
      <c r="H66" s="322"/>
      <c r="I66" s="315"/>
      <c r="J66" s="315"/>
      <c r="K66" s="322"/>
      <c r="L66" s="315"/>
      <c r="M66" s="313"/>
      <c r="N66" s="319" t="s">
        <v>16</v>
      </c>
      <c r="O66" s="319" t="s">
        <v>16</v>
      </c>
      <c r="P66" s="321"/>
      <c r="Q66" s="320"/>
      <c r="R66" s="313"/>
      <c r="S66" s="319"/>
      <c r="T66" s="319"/>
      <c r="U66" s="319"/>
      <c r="V66" s="319"/>
      <c r="W66" s="319"/>
      <c r="X66" s="319"/>
      <c r="Y66" s="319"/>
      <c r="Z66" s="316" t="str">
        <f>IF(Y66="Yes","Please ensure the UI has been upgraded","")</f>
        <v/>
      </c>
    </row>
    <row r="67" spans="1:26" s="308" customFormat="1" ht="15.75" customHeight="1">
      <c r="A67" s="308" t="s">
        <v>352</v>
      </c>
      <c r="B67" s="322"/>
      <c r="C67" s="315" t="s">
        <v>309</v>
      </c>
      <c r="D67" s="315">
        <f>B67</f>
        <v>0</v>
      </c>
      <c r="E67" s="322" t="s">
        <v>309</v>
      </c>
      <c r="F67" s="315" t="str">
        <f>IF(B67="","",B67)</f>
        <v/>
      </c>
      <c r="G67" s="323"/>
      <c r="H67" s="322"/>
      <c r="I67" s="315"/>
      <c r="J67" s="315"/>
      <c r="K67" s="322"/>
      <c r="L67" s="315"/>
      <c r="M67" s="313"/>
      <c r="N67" s="319" t="s">
        <v>16</v>
      </c>
      <c r="O67" s="319" t="s">
        <v>16</v>
      </c>
      <c r="P67" s="321"/>
      <c r="Q67" s="320"/>
      <c r="R67" s="313"/>
      <c r="S67" s="319"/>
      <c r="T67" s="319"/>
      <c r="U67" s="319"/>
      <c r="V67" s="319"/>
      <c r="W67" s="319"/>
      <c r="X67" s="319"/>
      <c r="Y67" s="319"/>
      <c r="Z67" s="316" t="str">
        <f>IF(Y67="Yes","Please ensure the UI has been upgraded","")</f>
        <v/>
      </c>
    </row>
    <row r="68" spans="1:26" s="308" customFormat="1" ht="15.75" customHeight="1">
      <c r="A68" s="308" t="s">
        <v>351</v>
      </c>
      <c r="B68" s="322"/>
      <c r="C68" s="315" t="s">
        <v>309</v>
      </c>
      <c r="D68" s="315">
        <f>B68</f>
        <v>0</v>
      </c>
      <c r="E68" s="322" t="s">
        <v>309</v>
      </c>
      <c r="F68" s="315" t="str">
        <f>IF(B68="","",B68)</f>
        <v/>
      </c>
      <c r="G68" s="323"/>
      <c r="H68" s="322"/>
      <c r="I68" s="315"/>
      <c r="J68" s="315"/>
      <c r="K68" s="322"/>
      <c r="L68" s="315"/>
      <c r="M68" s="313"/>
      <c r="N68" s="319" t="s">
        <v>16</v>
      </c>
      <c r="O68" s="319" t="s">
        <v>16</v>
      </c>
      <c r="P68" s="321"/>
      <c r="Q68" s="320"/>
      <c r="R68" s="313"/>
      <c r="S68" s="319"/>
      <c r="T68" s="319"/>
      <c r="U68" s="319"/>
      <c r="V68" s="319"/>
      <c r="W68" s="319"/>
      <c r="X68" s="319"/>
      <c r="Y68" s="319"/>
      <c r="Z68" s="316" t="str">
        <f>IF(Y68="Yes","Please ensure the UI has been upgraded","")</f>
        <v/>
      </c>
    </row>
    <row r="69" spans="1:26" s="308" customFormat="1" ht="15.75" customHeight="1">
      <c r="A69" s="318"/>
      <c r="B69" s="322"/>
      <c r="C69" s="315" t="s">
        <v>309</v>
      </c>
      <c r="D69" s="315">
        <f>B69</f>
        <v>0</v>
      </c>
      <c r="E69" s="322" t="s">
        <v>309</v>
      </c>
      <c r="F69" s="315" t="str">
        <f>IF(B69="","",B69)</f>
        <v/>
      </c>
      <c r="G69" s="323"/>
      <c r="H69" s="322"/>
      <c r="I69" s="315"/>
      <c r="J69" s="315"/>
      <c r="K69" s="322"/>
      <c r="L69" s="315"/>
      <c r="M69" s="313"/>
      <c r="N69" s="319" t="s">
        <v>16</v>
      </c>
      <c r="O69" s="319" t="s">
        <v>16</v>
      </c>
      <c r="P69" s="321"/>
      <c r="Q69" s="320"/>
      <c r="R69" s="313"/>
      <c r="S69" s="319"/>
      <c r="T69" s="319"/>
      <c r="U69" s="319"/>
      <c r="V69" s="319"/>
      <c r="W69" s="319"/>
      <c r="X69" s="319"/>
      <c r="Y69" s="319"/>
      <c r="Z69" s="316" t="str">
        <f>IF(Y69="Yes","Please ensure the UI has been upgraded","")</f>
        <v/>
      </c>
    </row>
    <row r="70" spans="1:26" s="308" customFormat="1" ht="15.75" customHeight="1">
      <c r="A70" s="308" t="s">
        <v>15</v>
      </c>
      <c r="B70" s="322"/>
      <c r="C70" s="315" t="s">
        <v>309</v>
      </c>
      <c r="D70" s="315">
        <f>B70</f>
        <v>0</v>
      </c>
      <c r="E70" s="322" t="s">
        <v>309</v>
      </c>
      <c r="F70" s="315" t="str">
        <f>IF(B70="","",B70)</f>
        <v/>
      </c>
      <c r="G70" s="323"/>
      <c r="H70" s="322"/>
      <c r="I70" s="315"/>
      <c r="J70" s="315"/>
      <c r="K70" s="322"/>
      <c r="L70" s="315"/>
      <c r="M70" s="313"/>
      <c r="N70" s="319" t="s">
        <v>16</v>
      </c>
      <c r="O70" s="319" t="s">
        <v>16</v>
      </c>
      <c r="P70" s="321"/>
      <c r="Q70" s="320"/>
      <c r="R70" s="313"/>
      <c r="S70" s="319"/>
      <c r="T70" s="319"/>
      <c r="U70" s="319"/>
      <c r="V70" s="319"/>
      <c r="W70" s="319"/>
      <c r="X70" s="319"/>
      <c r="Y70" s="319"/>
      <c r="Z70" s="316" t="str">
        <f>IF(Y70="Yes","Please ensure the UI has been upgraded","")</f>
        <v/>
      </c>
    </row>
    <row r="71" spans="1:26" s="308" customFormat="1" ht="15.75" customHeight="1">
      <c r="A71" s="308" t="s">
        <v>16</v>
      </c>
      <c r="B71" s="322"/>
      <c r="C71" s="315" t="s">
        <v>309</v>
      </c>
      <c r="D71" s="315">
        <f>B71</f>
        <v>0</v>
      </c>
      <c r="E71" s="322" t="s">
        <v>309</v>
      </c>
      <c r="F71" s="315" t="str">
        <f>IF(B71="","",B71)</f>
        <v/>
      </c>
      <c r="G71" s="323"/>
      <c r="H71" s="322"/>
      <c r="I71" s="315"/>
      <c r="J71" s="315"/>
      <c r="K71" s="322"/>
      <c r="L71" s="315"/>
      <c r="M71" s="313"/>
      <c r="N71" s="319" t="s">
        <v>16</v>
      </c>
      <c r="O71" s="319" t="s">
        <v>16</v>
      </c>
      <c r="P71" s="321"/>
      <c r="Q71" s="320"/>
      <c r="R71" s="313"/>
      <c r="S71" s="319"/>
      <c r="T71" s="319"/>
      <c r="U71" s="319"/>
      <c r="V71" s="319"/>
      <c r="W71" s="319"/>
      <c r="X71" s="319"/>
      <c r="Y71" s="319"/>
      <c r="Z71" s="316" t="str">
        <f>IF(Y71="Yes","Please ensure the UI has been upgraded","")</f>
        <v/>
      </c>
    </row>
    <row r="72" spans="1:26" s="308" customFormat="1" ht="15.75" customHeight="1">
      <c r="A72"/>
      <c r="B72" s="322"/>
      <c r="C72" s="315" t="s">
        <v>309</v>
      </c>
      <c r="D72" s="315">
        <f>B72</f>
        <v>0</v>
      </c>
      <c r="E72" s="322" t="s">
        <v>309</v>
      </c>
      <c r="F72" s="315" t="str">
        <f>IF(B72="","",B72)</f>
        <v/>
      </c>
      <c r="G72" s="323"/>
      <c r="H72" s="322"/>
      <c r="I72" s="315"/>
      <c r="J72" s="315"/>
      <c r="K72" s="322"/>
      <c r="L72" s="315"/>
      <c r="M72" s="313"/>
      <c r="N72" s="319" t="s">
        <v>16</v>
      </c>
      <c r="O72" s="319" t="s">
        <v>16</v>
      </c>
      <c r="P72" s="321"/>
      <c r="Q72" s="320"/>
      <c r="R72" s="313"/>
      <c r="S72" s="319"/>
      <c r="T72" s="319"/>
      <c r="U72" s="319"/>
      <c r="V72" s="319"/>
      <c r="W72" s="319"/>
      <c r="X72" s="319"/>
      <c r="Y72" s="319"/>
      <c r="Z72" s="316" t="str">
        <f>IF(Y72="Yes","Please ensure the UI has been upgraded","")</f>
        <v/>
      </c>
    </row>
    <row r="73" spans="1:26" s="308" customFormat="1" ht="15.75" customHeight="1">
      <c r="A73"/>
      <c r="B73" s="322"/>
      <c r="C73" s="315" t="s">
        <v>309</v>
      </c>
      <c r="D73" s="315">
        <f>B73</f>
        <v>0</v>
      </c>
      <c r="E73" s="322" t="s">
        <v>309</v>
      </c>
      <c r="F73" s="315" t="str">
        <f>IF(B73="","",B73)</f>
        <v/>
      </c>
      <c r="G73" s="323"/>
      <c r="H73" s="322"/>
      <c r="I73" s="315"/>
      <c r="J73" s="315"/>
      <c r="K73" s="322"/>
      <c r="L73" s="315"/>
      <c r="M73" s="313"/>
      <c r="N73" s="319" t="s">
        <v>16</v>
      </c>
      <c r="O73" s="319" t="s">
        <v>16</v>
      </c>
      <c r="P73" s="321"/>
      <c r="Q73" s="320"/>
      <c r="R73" s="313"/>
      <c r="S73" s="319"/>
      <c r="T73" s="319"/>
      <c r="U73" s="319"/>
      <c r="V73" s="319"/>
      <c r="W73" s="319"/>
      <c r="X73" s="319"/>
      <c r="Y73" s="319"/>
      <c r="Z73" s="316" t="str">
        <f>IF(Y73="Yes","Please ensure the UI has been upgraded","")</f>
        <v/>
      </c>
    </row>
    <row r="74" spans="1:26" s="308" customFormat="1" ht="15.75" customHeight="1">
      <c r="A74"/>
      <c r="B74" s="322"/>
      <c r="C74" s="315" t="s">
        <v>309</v>
      </c>
      <c r="D74" s="315">
        <f>B74</f>
        <v>0</v>
      </c>
      <c r="E74" s="322" t="s">
        <v>309</v>
      </c>
      <c r="F74" s="315" t="str">
        <f>IF(B74="","",B74)</f>
        <v/>
      </c>
      <c r="G74" s="323"/>
      <c r="H74" s="322"/>
      <c r="I74" s="315"/>
      <c r="J74" s="315"/>
      <c r="K74" s="322"/>
      <c r="L74" s="315"/>
      <c r="M74" s="313"/>
      <c r="N74" s="319" t="s">
        <v>16</v>
      </c>
      <c r="O74" s="319" t="s">
        <v>16</v>
      </c>
      <c r="P74" s="321"/>
      <c r="Q74" s="320"/>
      <c r="R74" s="313"/>
      <c r="S74" s="319"/>
      <c r="T74" s="319"/>
      <c r="U74" s="319"/>
      <c r="V74" s="319"/>
      <c r="W74" s="319"/>
      <c r="X74" s="319"/>
      <c r="Y74" s="319"/>
      <c r="Z74" s="316" t="str">
        <f>IF(Y74="Yes","Please ensure the UI has been upgraded","")</f>
        <v/>
      </c>
    </row>
    <row r="75" spans="1:26" s="308" customFormat="1" ht="15.75" customHeight="1">
      <c r="A75"/>
      <c r="B75" s="322"/>
      <c r="C75" s="315" t="s">
        <v>309</v>
      </c>
      <c r="D75" s="315">
        <f>B75</f>
        <v>0</v>
      </c>
      <c r="E75" s="322" t="s">
        <v>309</v>
      </c>
      <c r="F75" s="315" t="str">
        <f>IF(B75="","",B75)</f>
        <v/>
      </c>
      <c r="G75" s="323"/>
      <c r="H75" s="322"/>
      <c r="I75" s="315"/>
      <c r="J75" s="315"/>
      <c r="K75" s="322"/>
      <c r="L75" s="315"/>
      <c r="M75" s="313"/>
      <c r="N75" s="319" t="s">
        <v>16</v>
      </c>
      <c r="O75" s="319" t="s">
        <v>16</v>
      </c>
      <c r="P75" s="321"/>
      <c r="Q75" s="320"/>
      <c r="R75" s="313"/>
      <c r="S75" s="319"/>
      <c r="T75" s="319"/>
      <c r="U75" s="319"/>
      <c r="V75" s="319"/>
      <c r="W75" s="319"/>
      <c r="X75" s="319"/>
      <c r="Y75" s="319"/>
      <c r="Z75" s="316" t="str">
        <f>IF(Y75="Yes","Please ensure the UI has been upgraded","")</f>
        <v/>
      </c>
    </row>
    <row r="76" spans="1:26" s="308" customFormat="1" ht="15.75" customHeight="1">
      <c r="A76"/>
      <c r="B76" s="322"/>
      <c r="C76" s="315" t="s">
        <v>309</v>
      </c>
      <c r="D76" s="315">
        <f>B76</f>
        <v>0</v>
      </c>
      <c r="E76" s="322" t="s">
        <v>309</v>
      </c>
      <c r="F76" s="315" t="str">
        <f>IF(B76="","",B76)</f>
        <v/>
      </c>
      <c r="G76" s="323"/>
      <c r="H76" s="322"/>
      <c r="I76" s="315"/>
      <c r="J76" s="315"/>
      <c r="K76" s="322"/>
      <c r="L76" s="315"/>
      <c r="M76" s="313"/>
      <c r="N76" s="319" t="s">
        <v>16</v>
      </c>
      <c r="O76" s="319" t="s">
        <v>16</v>
      </c>
      <c r="P76" s="321"/>
      <c r="Q76" s="320"/>
      <c r="R76" s="313"/>
      <c r="S76" s="319"/>
      <c r="T76" s="319"/>
      <c r="U76" s="319"/>
      <c r="V76" s="319"/>
      <c r="W76" s="319"/>
      <c r="X76" s="319"/>
      <c r="Y76" s="319"/>
      <c r="Z76" s="316" t="str">
        <f>IF(Y76="Yes","Please ensure the UI has been upgraded","")</f>
        <v/>
      </c>
    </row>
    <row r="77" spans="1:26" s="308" customFormat="1" ht="15.75" customHeight="1">
      <c r="A77"/>
      <c r="B77" s="322"/>
      <c r="C77" s="315" t="s">
        <v>309</v>
      </c>
      <c r="D77" s="315">
        <f>B77</f>
        <v>0</v>
      </c>
      <c r="E77" s="322" t="s">
        <v>309</v>
      </c>
      <c r="F77" s="315" t="str">
        <f>IF(B77="","",B77)</f>
        <v/>
      </c>
      <c r="G77" s="323"/>
      <c r="H77" s="322"/>
      <c r="I77" s="315"/>
      <c r="J77" s="315"/>
      <c r="K77" s="322"/>
      <c r="L77" s="315"/>
      <c r="M77" s="313"/>
      <c r="N77" s="319" t="s">
        <v>16</v>
      </c>
      <c r="O77" s="319" t="s">
        <v>16</v>
      </c>
      <c r="P77" s="321"/>
      <c r="Q77" s="320"/>
      <c r="R77" s="313"/>
      <c r="S77" s="319"/>
      <c r="T77" s="319"/>
      <c r="U77" s="319"/>
      <c r="V77" s="319"/>
      <c r="W77" s="319"/>
      <c r="X77" s="319"/>
      <c r="Y77" s="319"/>
      <c r="Z77" s="316" t="str">
        <f>IF(Y77="Yes","Please ensure the UI has been upgraded","")</f>
        <v/>
      </c>
    </row>
    <row r="78" spans="1:26" s="308" customFormat="1" ht="15.75" customHeight="1">
      <c r="A78"/>
      <c r="B78" s="322"/>
      <c r="C78" s="315" t="s">
        <v>309</v>
      </c>
      <c r="D78" s="315">
        <f>B78</f>
        <v>0</v>
      </c>
      <c r="E78" s="322" t="s">
        <v>309</v>
      </c>
      <c r="F78" s="315" t="str">
        <f>IF(B78="","",B78)</f>
        <v/>
      </c>
      <c r="G78" s="323"/>
      <c r="H78" s="322"/>
      <c r="I78" s="315"/>
      <c r="J78" s="315"/>
      <c r="K78" s="322"/>
      <c r="L78" s="315"/>
      <c r="M78" s="313"/>
      <c r="N78" s="319" t="s">
        <v>16</v>
      </c>
      <c r="O78" s="319" t="s">
        <v>16</v>
      </c>
      <c r="P78" s="321"/>
      <c r="Q78" s="320"/>
      <c r="R78" s="313"/>
      <c r="S78" s="319"/>
      <c r="T78" s="319"/>
      <c r="U78" s="319"/>
      <c r="V78" s="319"/>
      <c r="W78" s="319"/>
      <c r="X78" s="319"/>
      <c r="Y78" s="319"/>
      <c r="Z78" s="316" t="str">
        <f>IF(Y78="Yes","Please ensure the UI has been upgraded","")</f>
        <v/>
      </c>
    </row>
    <row r="79" spans="1:26" s="308" customFormat="1" ht="15.75" customHeight="1">
      <c r="A79"/>
      <c r="B79" s="322"/>
      <c r="C79" s="315" t="s">
        <v>309</v>
      </c>
      <c r="D79" s="315">
        <f>B79</f>
        <v>0</v>
      </c>
      <c r="E79" s="322" t="s">
        <v>309</v>
      </c>
      <c r="F79" s="315" t="str">
        <f>IF(B79="","",B79)</f>
        <v/>
      </c>
      <c r="G79" s="323"/>
      <c r="H79" s="322"/>
      <c r="I79" s="315"/>
      <c r="J79" s="315"/>
      <c r="K79" s="322"/>
      <c r="L79" s="315"/>
      <c r="M79" s="313"/>
      <c r="N79" s="319" t="s">
        <v>16</v>
      </c>
      <c r="O79" s="319" t="s">
        <v>16</v>
      </c>
      <c r="P79" s="321"/>
      <c r="Q79" s="320"/>
      <c r="R79" s="313"/>
      <c r="S79" s="319"/>
      <c r="T79" s="319"/>
      <c r="U79" s="319"/>
      <c r="V79" s="319"/>
      <c r="W79" s="319"/>
      <c r="X79" s="319"/>
      <c r="Y79" s="319"/>
      <c r="Z79" s="316" t="str">
        <f>IF(Y79="Yes","Please ensure the UI has been upgraded","")</f>
        <v/>
      </c>
    </row>
    <row r="80" spans="1:26" s="308" customFormat="1" ht="15.75" customHeight="1">
      <c r="A80"/>
      <c r="B80" s="322"/>
      <c r="C80" s="315" t="s">
        <v>309</v>
      </c>
      <c r="D80" s="315">
        <f>B80</f>
        <v>0</v>
      </c>
      <c r="E80" s="322" t="s">
        <v>309</v>
      </c>
      <c r="F80" s="315" t="str">
        <f>IF(B80="","",B80)</f>
        <v/>
      </c>
      <c r="G80" s="323"/>
      <c r="H80" s="322"/>
      <c r="I80" s="315"/>
      <c r="J80" s="315"/>
      <c r="K80" s="322"/>
      <c r="L80" s="315"/>
      <c r="M80" s="313"/>
      <c r="N80" s="319" t="s">
        <v>16</v>
      </c>
      <c r="O80" s="319" t="s">
        <v>16</v>
      </c>
      <c r="P80" s="321"/>
      <c r="Q80" s="320"/>
      <c r="R80" s="313"/>
      <c r="S80" s="319"/>
      <c r="T80" s="319"/>
      <c r="U80" s="319"/>
      <c r="V80" s="319"/>
      <c r="W80" s="319"/>
      <c r="X80" s="319"/>
      <c r="Y80" s="319"/>
      <c r="Z80" s="316" t="str">
        <f>IF(Y80="Yes","Please ensure the UI has been upgraded","")</f>
        <v/>
      </c>
    </row>
    <row r="81" spans="1:26" s="308" customFormat="1" ht="15.75" customHeight="1">
      <c r="A81"/>
      <c r="B81" s="322"/>
      <c r="C81" s="315" t="s">
        <v>309</v>
      </c>
      <c r="D81" s="315">
        <f>B81</f>
        <v>0</v>
      </c>
      <c r="E81" s="322" t="s">
        <v>309</v>
      </c>
      <c r="F81" s="315" t="str">
        <f>IF(B81="","",B81)</f>
        <v/>
      </c>
      <c r="G81" s="323"/>
      <c r="H81" s="322"/>
      <c r="I81" s="315"/>
      <c r="J81" s="315"/>
      <c r="K81" s="322"/>
      <c r="L81" s="315"/>
      <c r="M81" s="313"/>
      <c r="N81" s="319" t="s">
        <v>16</v>
      </c>
      <c r="O81" s="319" t="s">
        <v>16</v>
      </c>
      <c r="P81" s="321"/>
      <c r="Q81" s="320"/>
      <c r="R81" s="313"/>
      <c r="S81" s="319"/>
      <c r="T81" s="319"/>
      <c r="U81" s="319"/>
      <c r="V81" s="319"/>
      <c r="W81" s="319"/>
      <c r="X81" s="319"/>
      <c r="Y81" s="319"/>
      <c r="Z81" s="316"/>
    </row>
    <row r="82" spans="1:26" s="308" customFormat="1" ht="15.75" customHeight="1">
      <c r="A82"/>
      <c r="B82" s="322"/>
      <c r="C82" s="315" t="s">
        <v>309</v>
      </c>
      <c r="D82" s="315">
        <f>B82</f>
        <v>0</v>
      </c>
      <c r="E82" s="322" t="s">
        <v>309</v>
      </c>
      <c r="F82" s="315" t="str">
        <f>IF(B82="","",B82)</f>
        <v/>
      </c>
      <c r="G82" s="323"/>
      <c r="H82" s="322"/>
      <c r="I82" s="315"/>
      <c r="J82" s="315"/>
      <c r="K82" s="322"/>
      <c r="L82" s="315"/>
      <c r="M82" s="313"/>
      <c r="N82" s="319" t="s">
        <v>16</v>
      </c>
      <c r="O82" s="319" t="s">
        <v>16</v>
      </c>
      <c r="P82" s="321"/>
      <c r="Q82" s="320"/>
      <c r="R82" s="313"/>
      <c r="S82" s="319"/>
      <c r="T82" s="319"/>
      <c r="U82" s="319"/>
      <c r="V82" s="319"/>
      <c r="W82" s="319"/>
      <c r="X82" s="319"/>
      <c r="Y82" s="319"/>
      <c r="Z82" s="316"/>
    </row>
    <row r="83" spans="1:26" s="308" customFormat="1" ht="15.75" customHeight="1">
      <c r="A83"/>
      <c r="B83" s="322"/>
      <c r="C83" s="315" t="s">
        <v>309</v>
      </c>
      <c r="D83" s="315">
        <f>B83</f>
        <v>0</v>
      </c>
      <c r="E83" s="322" t="s">
        <v>309</v>
      </c>
      <c r="F83" s="315" t="str">
        <f>IF(B83="","",B83)</f>
        <v/>
      </c>
      <c r="G83" s="323"/>
      <c r="H83" s="322"/>
      <c r="I83" s="315"/>
      <c r="J83" s="315"/>
      <c r="K83" s="322"/>
      <c r="L83" s="315"/>
      <c r="M83" s="313"/>
      <c r="N83" s="319" t="s">
        <v>16</v>
      </c>
      <c r="O83" s="319" t="s">
        <v>16</v>
      </c>
      <c r="P83" s="321"/>
      <c r="Q83" s="320"/>
      <c r="R83" s="313"/>
      <c r="S83" s="319"/>
      <c r="T83" s="319"/>
      <c r="U83" s="319"/>
      <c r="V83" s="319"/>
      <c r="W83" s="319"/>
      <c r="X83" s="319"/>
      <c r="Y83" s="319"/>
      <c r="Z83" s="316"/>
    </row>
    <row r="84" spans="1:26" s="308" customFormat="1" ht="15.75" customHeight="1">
      <c r="A84"/>
      <c r="B84" s="322"/>
      <c r="C84" s="315" t="s">
        <v>309</v>
      </c>
      <c r="D84" s="315">
        <f>B84</f>
        <v>0</v>
      </c>
      <c r="E84" s="322" t="s">
        <v>309</v>
      </c>
      <c r="F84" s="315" t="str">
        <f>IF(B84="","",B84)</f>
        <v/>
      </c>
      <c r="G84" s="323"/>
      <c r="H84" s="322"/>
      <c r="I84" s="315"/>
      <c r="J84" s="315"/>
      <c r="K84" s="322"/>
      <c r="L84" s="315"/>
      <c r="M84" s="313"/>
      <c r="N84" s="319" t="s">
        <v>16</v>
      </c>
      <c r="O84" s="319" t="s">
        <v>16</v>
      </c>
      <c r="P84" s="321"/>
      <c r="Q84" s="320"/>
      <c r="R84" s="313"/>
      <c r="S84" s="319"/>
      <c r="T84" s="319"/>
      <c r="U84" s="319"/>
      <c r="V84" s="319"/>
      <c r="W84" s="319"/>
      <c r="X84" s="319"/>
      <c r="Y84" s="319"/>
      <c r="Z84" s="316"/>
    </row>
    <row r="85" spans="1:26" s="308" customFormat="1" ht="15.75" customHeight="1">
      <c r="A85"/>
      <c r="B85" s="322"/>
      <c r="C85" s="315" t="s">
        <v>309</v>
      </c>
      <c r="D85" s="315">
        <f>B85</f>
        <v>0</v>
      </c>
      <c r="E85" s="322" t="s">
        <v>309</v>
      </c>
      <c r="F85" s="315" t="str">
        <f>IF(B85="","",B85)</f>
        <v/>
      </c>
      <c r="G85" s="323"/>
      <c r="H85" s="322"/>
      <c r="I85" s="315"/>
      <c r="J85" s="315"/>
      <c r="K85" s="322"/>
      <c r="L85" s="315"/>
      <c r="M85" s="313"/>
      <c r="N85" s="319" t="s">
        <v>16</v>
      </c>
      <c r="O85" s="319" t="s">
        <v>16</v>
      </c>
      <c r="P85" s="321"/>
      <c r="Q85" s="320"/>
      <c r="R85" s="313"/>
      <c r="S85" s="319"/>
      <c r="T85" s="319"/>
      <c r="U85" s="319"/>
      <c r="V85" s="319"/>
      <c r="W85" s="319"/>
      <c r="X85" s="319"/>
      <c r="Y85" s="319"/>
      <c r="Z85" s="316"/>
    </row>
    <row r="86" spans="1:26" s="308" customFormat="1" ht="15.75" customHeight="1">
      <c r="A86"/>
      <c r="B86" s="322"/>
      <c r="C86" s="315" t="s">
        <v>309</v>
      </c>
      <c r="D86" s="315">
        <f>B86</f>
        <v>0</v>
      </c>
      <c r="E86" s="322" t="s">
        <v>309</v>
      </c>
      <c r="F86" s="315" t="str">
        <f>IF(B86="","",B86)</f>
        <v/>
      </c>
      <c r="G86" s="323"/>
      <c r="H86" s="322"/>
      <c r="I86" s="315"/>
      <c r="J86" s="315"/>
      <c r="K86" s="322"/>
      <c r="L86" s="315"/>
      <c r="M86" s="313"/>
      <c r="N86" s="319" t="s">
        <v>16</v>
      </c>
      <c r="O86" s="319" t="s">
        <v>16</v>
      </c>
      <c r="P86" s="321"/>
      <c r="Q86" s="320"/>
      <c r="R86" s="313"/>
      <c r="S86" s="319"/>
      <c r="T86" s="319"/>
      <c r="U86" s="319"/>
      <c r="V86" s="319"/>
      <c r="W86" s="319"/>
      <c r="X86" s="319"/>
      <c r="Y86" s="319"/>
      <c r="Z86" s="316" t="str">
        <f>IF(Y86="Yes","Please ensure the UI has been upgraded","")</f>
        <v/>
      </c>
    </row>
    <row r="87" spans="1:26" s="308" customFormat="1" ht="15.75" customHeight="1">
      <c r="A87"/>
      <c r="B87" s="322"/>
      <c r="C87" s="315" t="s">
        <v>309</v>
      </c>
      <c r="D87" s="315">
        <f>B87</f>
        <v>0</v>
      </c>
      <c r="E87" s="322" t="s">
        <v>309</v>
      </c>
      <c r="F87" s="315" t="str">
        <f>IF(B87="","",B87)</f>
        <v/>
      </c>
      <c r="G87" s="323"/>
      <c r="H87" s="322"/>
      <c r="I87" s="315"/>
      <c r="J87" s="315"/>
      <c r="K87" s="322"/>
      <c r="L87" s="315"/>
      <c r="M87" s="313"/>
      <c r="N87" s="319" t="s">
        <v>16</v>
      </c>
      <c r="O87" s="319" t="s">
        <v>16</v>
      </c>
      <c r="P87" s="321"/>
      <c r="Q87" s="320"/>
      <c r="R87" s="313"/>
      <c r="S87" s="319"/>
      <c r="T87" s="319"/>
      <c r="U87" s="319"/>
      <c r="V87" s="319"/>
      <c r="W87" s="319"/>
      <c r="X87" s="319"/>
      <c r="Y87" s="319"/>
      <c r="Z87" s="316" t="str">
        <f>IF(Y87="Yes","Please ensure the UI has been upgraded","")</f>
        <v/>
      </c>
    </row>
    <row r="88" spans="1:26" s="308" customFormat="1" ht="15.75" customHeight="1">
      <c r="A88"/>
      <c r="B88" s="322"/>
      <c r="C88" s="315" t="s">
        <v>309</v>
      </c>
      <c r="D88" s="315">
        <f>B88</f>
        <v>0</v>
      </c>
      <c r="E88" s="322" t="s">
        <v>309</v>
      </c>
      <c r="F88" s="315" t="str">
        <f>IF(B88="","",B88)</f>
        <v/>
      </c>
      <c r="G88" s="323"/>
      <c r="H88" s="322"/>
      <c r="I88" s="315"/>
      <c r="J88" s="315"/>
      <c r="K88" s="322"/>
      <c r="L88" s="315"/>
      <c r="M88" s="313"/>
      <c r="N88" s="319" t="s">
        <v>16</v>
      </c>
      <c r="O88" s="319" t="s">
        <v>16</v>
      </c>
      <c r="P88" s="321"/>
      <c r="Q88" s="320"/>
      <c r="R88" s="313"/>
      <c r="S88" s="319"/>
      <c r="T88" s="319"/>
      <c r="U88" s="319"/>
      <c r="V88" s="319"/>
      <c r="W88" s="319"/>
      <c r="X88" s="319"/>
      <c r="Y88" s="319"/>
      <c r="Z88" s="316" t="str">
        <f>IF(Y88="Yes","Please ensure the UI has been upgraded","")</f>
        <v/>
      </c>
    </row>
    <row r="89" spans="1:26" s="308" customFormat="1" ht="15.75" customHeight="1">
      <c r="A89"/>
      <c r="B89" s="322"/>
      <c r="C89" s="315" t="s">
        <v>309</v>
      </c>
      <c r="D89" s="315">
        <f>B89</f>
        <v>0</v>
      </c>
      <c r="E89" s="322" t="s">
        <v>309</v>
      </c>
      <c r="F89" s="315" t="str">
        <f>IF(B89="","",B89)</f>
        <v/>
      </c>
      <c r="G89" s="323"/>
      <c r="H89" s="322"/>
      <c r="I89" s="315"/>
      <c r="J89" s="315"/>
      <c r="K89" s="322"/>
      <c r="L89" s="315"/>
      <c r="M89" s="313"/>
      <c r="N89" s="319" t="s">
        <v>16</v>
      </c>
      <c r="O89" s="319" t="s">
        <v>16</v>
      </c>
      <c r="P89" s="321"/>
      <c r="Q89" s="320"/>
      <c r="R89" s="313"/>
      <c r="S89" s="319"/>
      <c r="T89" s="319"/>
      <c r="U89" s="319"/>
      <c r="V89" s="319"/>
      <c r="W89" s="319"/>
      <c r="X89" s="319"/>
      <c r="Y89" s="319"/>
      <c r="Z89" s="316" t="str">
        <f>IF(Y89="Yes","Please ensure the UI has been upgraded","")</f>
        <v/>
      </c>
    </row>
    <row r="90" spans="1:26" s="308" customFormat="1" ht="15.75" customHeight="1">
      <c r="A90"/>
      <c r="B90" s="322"/>
      <c r="C90" s="315" t="s">
        <v>309</v>
      </c>
      <c r="D90" s="315">
        <f>B90</f>
        <v>0</v>
      </c>
      <c r="E90" s="322" t="s">
        <v>309</v>
      </c>
      <c r="F90" s="315" t="str">
        <f>IF(B90="","",B90)</f>
        <v/>
      </c>
      <c r="G90" s="323"/>
      <c r="H90" s="322"/>
      <c r="I90" s="315"/>
      <c r="J90" s="315"/>
      <c r="K90" s="322"/>
      <c r="L90" s="315"/>
      <c r="M90" s="313"/>
      <c r="N90" s="319" t="s">
        <v>16</v>
      </c>
      <c r="O90" s="319" t="s">
        <v>16</v>
      </c>
      <c r="P90" s="321"/>
      <c r="Q90" s="320"/>
      <c r="R90" s="313"/>
      <c r="S90" s="319"/>
      <c r="T90" s="319"/>
      <c r="U90" s="319"/>
      <c r="V90" s="319"/>
      <c r="W90" s="319"/>
      <c r="X90" s="319"/>
      <c r="Y90" s="319"/>
      <c r="Z90" s="316" t="str">
        <f>IF(Y90="Yes","Please ensure the UI has been upgraded","")</f>
        <v/>
      </c>
    </row>
    <row r="91" spans="1:26" s="308" customFormat="1" ht="15.75" customHeight="1">
      <c r="A91"/>
      <c r="B91" s="322"/>
      <c r="C91" s="315" t="s">
        <v>309</v>
      </c>
      <c r="D91" s="315">
        <f>B91</f>
        <v>0</v>
      </c>
      <c r="E91" s="322" t="s">
        <v>309</v>
      </c>
      <c r="F91" s="315" t="str">
        <f>IF(B91="","",B91)</f>
        <v/>
      </c>
      <c r="G91" s="323"/>
      <c r="H91" s="322"/>
      <c r="I91" s="315"/>
      <c r="J91" s="315"/>
      <c r="K91" s="322"/>
      <c r="L91" s="315"/>
      <c r="M91" s="313"/>
      <c r="N91" s="319" t="s">
        <v>16</v>
      </c>
      <c r="O91" s="319" t="s">
        <v>16</v>
      </c>
      <c r="P91" s="321"/>
      <c r="Q91" s="320"/>
      <c r="R91" s="313"/>
      <c r="S91" s="319"/>
      <c r="T91" s="319"/>
      <c r="U91" s="319"/>
      <c r="V91" s="319"/>
      <c r="W91" s="319"/>
      <c r="X91" s="319"/>
      <c r="Y91" s="319"/>
      <c r="Z91" s="316" t="str">
        <f>IF(Y91="Yes","Please ensure the UI has been upgraded","")</f>
        <v/>
      </c>
    </row>
    <row r="92" spans="1:26" s="308" customFormat="1" ht="15.75" customHeight="1">
      <c r="A92"/>
      <c r="B92" s="322"/>
      <c r="C92" s="315" t="s">
        <v>309</v>
      </c>
      <c r="D92" s="315">
        <f>B92</f>
        <v>0</v>
      </c>
      <c r="E92" s="322" t="s">
        <v>309</v>
      </c>
      <c r="F92" s="315" t="str">
        <f>IF(B92="","",B92)</f>
        <v/>
      </c>
      <c r="G92" s="323"/>
      <c r="H92" s="322"/>
      <c r="I92" s="315"/>
      <c r="J92" s="315"/>
      <c r="K92" s="322"/>
      <c r="L92" s="315"/>
      <c r="M92" s="313"/>
      <c r="N92" s="319" t="s">
        <v>16</v>
      </c>
      <c r="O92" s="319" t="s">
        <v>16</v>
      </c>
      <c r="P92" s="321"/>
      <c r="Q92" s="320"/>
      <c r="R92" s="313"/>
      <c r="S92" s="319"/>
      <c r="T92" s="319"/>
      <c r="U92" s="319"/>
      <c r="V92" s="319"/>
      <c r="W92" s="319"/>
      <c r="X92" s="319"/>
      <c r="Y92" s="319"/>
      <c r="Z92" s="316" t="str">
        <f>IF(Y92="Yes","Please ensure the UI has been upgraded","")</f>
        <v/>
      </c>
    </row>
    <row r="93" spans="1:26" s="308" customFormat="1" ht="15.75" customHeight="1">
      <c r="A93"/>
      <c r="B93" s="322"/>
      <c r="C93" s="315" t="s">
        <v>309</v>
      </c>
      <c r="D93" s="315">
        <f>B93</f>
        <v>0</v>
      </c>
      <c r="E93" s="322" t="s">
        <v>309</v>
      </c>
      <c r="F93" s="315" t="str">
        <f>IF(B93="","",B93)</f>
        <v/>
      </c>
      <c r="G93" s="323"/>
      <c r="H93" s="322"/>
      <c r="I93" s="315"/>
      <c r="J93" s="315"/>
      <c r="K93" s="322"/>
      <c r="L93" s="315"/>
      <c r="M93" s="313"/>
      <c r="N93" s="319" t="s">
        <v>16</v>
      </c>
      <c r="O93" s="319" t="s">
        <v>16</v>
      </c>
      <c r="P93" s="321"/>
      <c r="Q93" s="320"/>
      <c r="R93" s="313"/>
      <c r="S93" s="319"/>
      <c r="T93" s="319"/>
      <c r="U93" s="319"/>
      <c r="V93" s="319"/>
      <c r="W93" s="319"/>
      <c r="X93" s="319"/>
      <c r="Y93" s="319"/>
      <c r="Z93" s="316" t="str">
        <f>IF(Y93="Yes","Please ensure the UI has been upgraded","")</f>
        <v/>
      </c>
    </row>
    <row r="94" spans="1:26" s="308" customFormat="1" ht="15.75" customHeight="1">
      <c r="A94"/>
      <c r="B94" s="322"/>
      <c r="C94" s="315" t="s">
        <v>309</v>
      </c>
      <c r="D94" s="315">
        <f>B94</f>
        <v>0</v>
      </c>
      <c r="E94" s="322" t="s">
        <v>309</v>
      </c>
      <c r="F94" s="315" t="str">
        <f>IF(B94="","",B94)</f>
        <v/>
      </c>
      <c r="G94" s="323"/>
      <c r="H94" s="322"/>
      <c r="I94" s="315"/>
      <c r="J94" s="315"/>
      <c r="K94" s="322"/>
      <c r="L94" s="315"/>
      <c r="M94" s="313"/>
      <c r="N94" s="319" t="s">
        <v>16</v>
      </c>
      <c r="O94" s="319" t="s">
        <v>16</v>
      </c>
      <c r="P94" s="321"/>
      <c r="Q94" s="320"/>
      <c r="R94" s="313"/>
      <c r="S94" s="319"/>
      <c r="T94" s="319"/>
      <c r="U94" s="319"/>
      <c r="V94" s="319"/>
      <c r="W94" s="319"/>
      <c r="X94" s="319"/>
      <c r="Y94" s="319"/>
      <c r="Z94" s="316" t="str">
        <f>IF(Y94="Yes","Please ensure the UI has been upgraded","")</f>
        <v/>
      </c>
    </row>
    <row r="95" spans="1:26" s="308" customFormat="1" ht="15.75" customHeight="1">
      <c r="A95"/>
      <c r="B95" s="322"/>
      <c r="C95" s="315" t="s">
        <v>309</v>
      </c>
      <c r="D95" s="315">
        <f>B95</f>
        <v>0</v>
      </c>
      <c r="E95" s="322" t="s">
        <v>309</v>
      </c>
      <c r="F95" s="315" t="str">
        <f>IF(B95="","",B95)</f>
        <v/>
      </c>
      <c r="G95" s="323"/>
      <c r="H95" s="322"/>
      <c r="I95" s="315"/>
      <c r="J95" s="315"/>
      <c r="K95" s="322"/>
      <c r="L95" s="315"/>
      <c r="M95" s="313"/>
      <c r="N95" s="319" t="s">
        <v>16</v>
      </c>
      <c r="O95" s="319" t="s">
        <v>16</v>
      </c>
      <c r="P95" s="321"/>
      <c r="Q95" s="320"/>
      <c r="R95" s="313"/>
      <c r="S95" s="319"/>
      <c r="T95" s="319"/>
      <c r="U95" s="319"/>
      <c r="V95" s="319"/>
      <c r="W95" s="319"/>
      <c r="X95" s="319"/>
      <c r="Y95" s="319"/>
      <c r="Z95" s="316" t="str">
        <f>IF(Y95="Yes","Please ensure the UI has been upgraded","")</f>
        <v/>
      </c>
    </row>
    <row r="96" spans="1:26" s="308" customFormat="1" ht="15.75" customHeight="1">
      <c r="A96"/>
      <c r="B96" s="322"/>
      <c r="C96" s="315" t="s">
        <v>309</v>
      </c>
      <c r="D96" s="315">
        <f>B96</f>
        <v>0</v>
      </c>
      <c r="E96" s="322" t="s">
        <v>309</v>
      </c>
      <c r="F96" s="315" t="str">
        <f>IF(B96="","",B96)</f>
        <v/>
      </c>
      <c r="G96" s="323"/>
      <c r="H96" s="322"/>
      <c r="I96" s="315"/>
      <c r="J96" s="315"/>
      <c r="K96" s="322"/>
      <c r="L96" s="315"/>
      <c r="M96" s="313"/>
      <c r="N96" s="319" t="s">
        <v>16</v>
      </c>
      <c r="O96" s="319" t="s">
        <v>16</v>
      </c>
      <c r="P96" s="321"/>
      <c r="Q96" s="320"/>
      <c r="R96" s="313"/>
      <c r="S96" s="319"/>
      <c r="T96" s="319"/>
      <c r="U96" s="319"/>
      <c r="V96" s="319"/>
      <c r="W96" s="319"/>
      <c r="X96" s="319"/>
      <c r="Y96" s="319"/>
      <c r="Z96" s="316" t="str">
        <f>IF(Y96="Yes","Please ensure the UI has been upgraded","")</f>
        <v/>
      </c>
    </row>
    <row r="97" spans="1:26" s="308" customFormat="1" ht="15.75" customHeight="1">
      <c r="A97"/>
      <c r="B97" s="322"/>
      <c r="C97" s="315" t="s">
        <v>309</v>
      </c>
      <c r="D97" s="315">
        <f>B97</f>
        <v>0</v>
      </c>
      <c r="E97" s="322" t="s">
        <v>309</v>
      </c>
      <c r="F97" s="315" t="str">
        <f>IF(B97="","",B97)</f>
        <v/>
      </c>
      <c r="G97" s="323"/>
      <c r="H97" s="322"/>
      <c r="I97" s="315"/>
      <c r="J97" s="315"/>
      <c r="K97" s="322"/>
      <c r="L97" s="315"/>
      <c r="M97" s="313"/>
      <c r="N97" s="319" t="s">
        <v>16</v>
      </c>
      <c r="O97" s="319" t="s">
        <v>16</v>
      </c>
      <c r="P97" s="321"/>
      <c r="Q97" s="320"/>
      <c r="R97" s="313"/>
      <c r="S97" s="319"/>
      <c r="T97" s="319"/>
      <c r="U97" s="319"/>
      <c r="V97" s="319"/>
      <c r="W97" s="319"/>
      <c r="X97" s="319"/>
      <c r="Y97" s="319"/>
      <c r="Z97" s="316" t="str">
        <f>IF(Y97="Yes","Please ensure the UI has been upgraded","")</f>
        <v/>
      </c>
    </row>
    <row r="98" spans="1:26" s="308" customFormat="1" ht="15.75" customHeight="1">
      <c r="A98"/>
      <c r="B98" s="322"/>
      <c r="C98" s="315" t="s">
        <v>309</v>
      </c>
      <c r="D98" s="315">
        <f>B98</f>
        <v>0</v>
      </c>
      <c r="E98" s="322" t="s">
        <v>309</v>
      </c>
      <c r="F98" s="315" t="str">
        <f>IF(B98="","",B98)</f>
        <v/>
      </c>
      <c r="G98" s="323"/>
      <c r="H98" s="322"/>
      <c r="I98" s="315"/>
      <c r="J98" s="315"/>
      <c r="K98" s="322"/>
      <c r="L98" s="315"/>
      <c r="M98" s="313"/>
      <c r="N98" s="319" t="s">
        <v>16</v>
      </c>
      <c r="O98" s="319" t="s">
        <v>16</v>
      </c>
      <c r="P98" s="321"/>
      <c r="Q98" s="320"/>
      <c r="R98" s="313"/>
      <c r="S98" s="319"/>
      <c r="T98" s="319"/>
      <c r="U98" s="319"/>
      <c r="V98" s="319"/>
      <c r="W98" s="319"/>
      <c r="X98" s="319"/>
      <c r="Y98" s="319"/>
      <c r="Z98" s="316"/>
    </row>
    <row r="99" spans="1:26" s="308" customFormat="1" ht="15.75" customHeight="1">
      <c r="A99"/>
      <c r="B99" s="322"/>
      <c r="C99" s="315" t="s">
        <v>309</v>
      </c>
      <c r="D99" s="315">
        <f>B99</f>
        <v>0</v>
      </c>
      <c r="E99" s="322" t="s">
        <v>309</v>
      </c>
      <c r="F99" s="315" t="str">
        <f>IF(B99="","",B99)</f>
        <v/>
      </c>
      <c r="G99" s="323"/>
      <c r="H99" s="322"/>
      <c r="I99" s="315"/>
      <c r="J99" s="315"/>
      <c r="K99" s="322"/>
      <c r="L99" s="315"/>
      <c r="M99" s="313"/>
      <c r="N99" s="319" t="s">
        <v>16</v>
      </c>
      <c r="O99" s="319" t="s">
        <v>16</v>
      </c>
      <c r="P99" s="321"/>
      <c r="Q99" s="320"/>
      <c r="R99" s="313"/>
      <c r="S99" s="319"/>
      <c r="T99" s="319"/>
      <c r="U99" s="319"/>
      <c r="V99" s="319"/>
      <c r="W99" s="319"/>
      <c r="X99" s="319"/>
      <c r="Y99" s="319"/>
      <c r="Z99" s="316"/>
    </row>
    <row r="100" spans="1:26" s="308" customFormat="1" ht="15.75" customHeight="1">
      <c r="A100"/>
      <c r="B100" s="322"/>
      <c r="C100" s="315" t="s">
        <v>309</v>
      </c>
      <c r="D100" s="315">
        <f>B100</f>
        <v>0</v>
      </c>
      <c r="E100" s="322" t="s">
        <v>309</v>
      </c>
      <c r="F100" s="315" t="str">
        <f>IF(B100="","",B100)</f>
        <v/>
      </c>
      <c r="G100" s="323"/>
      <c r="H100" s="322"/>
      <c r="I100" s="315"/>
      <c r="J100" s="315"/>
      <c r="K100" s="322"/>
      <c r="L100" s="315"/>
      <c r="M100" s="313"/>
      <c r="N100" s="319" t="s">
        <v>16</v>
      </c>
      <c r="O100" s="319" t="s">
        <v>16</v>
      </c>
      <c r="P100" s="321"/>
      <c r="Q100" s="320"/>
      <c r="R100" s="313"/>
      <c r="S100" s="319"/>
      <c r="T100" s="319"/>
      <c r="U100" s="319"/>
      <c r="V100" s="319"/>
      <c r="W100" s="319"/>
      <c r="X100" s="319"/>
      <c r="Y100" s="319"/>
      <c r="Z100" s="316" t="str">
        <f>IF(Y100="Yes","Please ensure the UI has been upgraded","")</f>
        <v/>
      </c>
    </row>
    <row r="101" spans="1:26" s="308" customFormat="1" ht="15.75" customHeight="1">
      <c r="A101"/>
      <c r="B101" s="322"/>
      <c r="C101" s="315" t="s">
        <v>309</v>
      </c>
      <c r="D101" s="315">
        <f>B101</f>
        <v>0</v>
      </c>
      <c r="E101" s="322" t="s">
        <v>309</v>
      </c>
      <c r="F101" s="315" t="str">
        <f>IF(B101="","",B101)</f>
        <v/>
      </c>
      <c r="G101" s="323"/>
      <c r="H101" s="322"/>
      <c r="I101" s="315"/>
      <c r="J101" s="315"/>
      <c r="K101" s="322"/>
      <c r="L101" s="315"/>
      <c r="M101" s="313"/>
      <c r="N101" s="319" t="s">
        <v>16</v>
      </c>
      <c r="O101" s="319" t="s">
        <v>16</v>
      </c>
      <c r="P101" s="321"/>
      <c r="Q101" s="320"/>
      <c r="R101" s="313"/>
      <c r="S101" s="319"/>
      <c r="T101" s="319"/>
      <c r="U101" s="319"/>
      <c r="V101" s="319"/>
      <c r="W101" s="319"/>
      <c r="X101" s="319"/>
      <c r="Y101" s="319"/>
      <c r="Z101" s="316" t="str">
        <f>IF(Y101="Yes","Please ensure the UI has been upgraded","")</f>
        <v/>
      </c>
    </row>
    <row r="102" spans="1:26" s="308" customFormat="1" ht="15.75" customHeight="1">
      <c r="A102"/>
      <c r="B102" s="322"/>
      <c r="C102" s="315" t="s">
        <v>309</v>
      </c>
      <c r="D102" s="315">
        <f>B102</f>
        <v>0</v>
      </c>
      <c r="E102" s="322" t="s">
        <v>309</v>
      </c>
      <c r="F102" s="315" t="str">
        <f>IF(B102="","",B102)</f>
        <v/>
      </c>
      <c r="G102" s="323"/>
      <c r="H102" s="322"/>
      <c r="I102" s="315"/>
      <c r="J102" s="315"/>
      <c r="K102" s="322"/>
      <c r="L102" s="315"/>
      <c r="M102" s="313"/>
      <c r="N102" s="319" t="s">
        <v>16</v>
      </c>
      <c r="O102" s="319" t="s">
        <v>16</v>
      </c>
      <c r="P102" s="321"/>
      <c r="Q102" s="320"/>
      <c r="R102" s="313"/>
      <c r="S102" s="319"/>
      <c r="T102" s="319"/>
      <c r="U102" s="319"/>
      <c r="V102" s="319"/>
      <c r="W102" s="319"/>
      <c r="X102" s="319"/>
      <c r="Y102" s="319"/>
      <c r="Z102" s="316" t="str">
        <f>IF(Y102="Yes","Please ensure the UI has been upgraded","")</f>
        <v/>
      </c>
    </row>
    <row r="103" spans="1:26" s="308" customFormat="1" ht="15.75" customHeight="1">
      <c r="A103"/>
      <c r="B103" s="322"/>
      <c r="C103" s="315" t="s">
        <v>309</v>
      </c>
      <c r="D103" s="315">
        <f>B103</f>
        <v>0</v>
      </c>
      <c r="E103" s="322" t="s">
        <v>309</v>
      </c>
      <c r="F103" s="315" t="str">
        <f>IF(B103="","",B103)</f>
        <v/>
      </c>
      <c r="G103" s="323"/>
      <c r="H103" s="322"/>
      <c r="I103" s="315"/>
      <c r="J103" s="315"/>
      <c r="K103" s="322"/>
      <c r="L103" s="315"/>
      <c r="M103" s="313"/>
      <c r="N103" s="319" t="s">
        <v>16</v>
      </c>
      <c r="O103" s="319" t="s">
        <v>16</v>
      </c>
      <c r="P103" s="321"/>
      <c r="Q103" s="320"/>
      <c r="R103" s="313"/>
      <c r="S103" s="319"/>
      <c r="T103" s="319"/>
      <c r="U103" s="319"/>
      <c r="V103" s="319"/>
      <c r="W103" s="319"/>
      <c r="X103" s="319"/>
      <c r="Y103" s="319"/>
      <c r="Z103" s="316" t="str">
        <f>IF(Y103="Yes","Please ensure the UI has been upgraded","")</f>
        <v/>
      </c>
    </row>
    <row r="104" spans="1:26" s="308" customFormat="1" ht="15.75" customHeight="1">
      <c r="A104"/>
      <c r="B104" s="322"/>
      <c r="C104" s="315" t="s">
        <v>309</v>
      </c>
      <c r="D104" s="315">
        <f>B104</f>
        <v>0</v>
      </c>
      <c r="E104" s="322" t="s">
        <v>309</v>
      </c>
      <c r="F104" s="315" t="str">
        <f>IF(B104="","",B104)</f>
        <v/>
      </c>
      <c r="G104" s="323"/>
      <c r="H104" s="322"/>
      <c r="I104" s="315"/>
      <c r="J104" s="315"/>
      <c r="K104" s="322"/>
      <c r="L104" s="315"/>
      <c r="M104" s="313"/>
      <c r="N104" s="319" t="s">
        <v>16</v>
      </c>
      <c r="O104" s="319" t="s">
        <v>16</v>
      </c>
      <c r="P104" s="321"/>
      <c r="Q104" s="320"/>
      <c r="R104" s="313"/>
      <c r="S104" s="319"/>
      <c r="T104" s="319"/>
      <c r="U104" s="319"/>
      <c r="V104" s="319"/>
      <c r="W104" s="319"/>
      <c r="X104" s="319"/>
      <c r="Y104" s="319"/>
      <c r="Z104" s="316" t="str">
        <f>IF(Y104="Yes","Please ensure the UI has been upgraded","")</f>
        <v/>
      </c>
    </row>
    <row r="105" spans="1:26" s="308" customFormat="1" ht="15.75" customHeight="1">
      <c r="A105"/>
      <c r="B105" s="322"/>
      <c r="C105" s="315" t="s">
        <v>309</v>
      </c>
      <c r="D105" s="315">
        <f>B105</f>
        <v>0</v>
      </c>
      <c r="E105" s="322" t="s">
        <v>309</v>
      </c>
      <c r="F105" s="315" t="str">
        <f>IF(B105="","",B105)</f>
        <v/>
      </c>
      <c r="G105" s="323"/>
      <c r="H105" s="322"/>
      <c r="I105" s="315"/>
      <c r="J105" s="315"/>
      <c r="K105" s="322"/>
      <c r="L105" s="315"/>
      <c r="M105" s="313"/>
      <c r="N105" s="319" t="s">
        <v>16</v>
      </c>
      <c r="O105" s="319" t="s">
        <v>16</v>
      </c>
      <c r="P105" s="321"/>
      <c r="Q105" s="320"/>
      <c r="R105" s="313"/>
      <c r="S105" s="319"/>
      <c r="T105" s="319"/>
      <c r="U105" s="319"/>
      <c r="V105" s="319"/>
      <c r="W105" s="319"/>
      <c r="X105" s="319"/>
      <c r="Y105" s="319"/>
      <c r="Z105" s="316" t="str">
        <f>IF(Y105="Yes","Please ensure the UI has been upgraded","")</f>
        <v/>
      </c>
    </row>
    <row r="106" spans="1:26" s="308" customFormat="1" ht="15.75" customHeight="1">
      <c r="A106"/>
      <c r="B106" s="322"/>
      <c r="C106" s="315" t="s">
        <v>309</v>
      </c>
      <c r="D106" s="315">
        <f>B106</f>
        <v>0</v>
      </c>
      <c r="E106" s="322" t="s">
        <v>309</v>
      </c>
      <c r="F106" s="315" t="str">
        <f>IF(B106="","",B106)</f>
        <v/>
      </c>
      <c r="G106" s="323"/>
      <c r="H106" s="322"/>
      <c r="I106" s="315"/>
      <c r="J106" s="315"/>
      <c r="K106" s="322"/>
      <c r="L106" s="315"/>
      <c r="M106" s="313"/>
      <c r="N106" s="319" t="s">
        <v>16</v>
      </c>
      <c r="O106" s="319" t="s">
        <v>16</v>
      </c>
      <c r="P106" s="321"/>
      <c r="Q106" s="320"/>
      <c r="R106" s="313"/>
      <c r="S106" s="319"/>
      <c r="T106" s="319"/>
      <c r="U106" s="319"/>
      <c r="V106" s="319"/>
      <c r="W106" s="319"/>
      <c r="X106" s="319"/>
      <c r="Y106" s="319"/>
      <c r="Z106" s="316" t="str">
        <f>IF(Y106="Yes","Please ensure the UI has been upgraded","")</f>
        <v/>
      </c>
    </row>
    <row r="107" spans="1:26" s="308" customFormat="1" ht="15.75" customHeight="1">
      <c r="A107"/>
      <c r="B107" s="322"/>
      <c r="C107" s="315" t="s">
        <v>309</v>
      </c>
      <c r="D107" s="315">
        <f>B107</f>
        <v>0</v>
      </c>
      <c r="E107" s="322" t="s">
        <v>309</v>
      </c>
      <c r="F107" s="315" t="str">
        <f>IF(B107="","",B107)</f>
        <v/>
      </c>
      <c r="G107" s="323"/>
      <c r="H107" s="322"/>
      <c r="I107" s="315"/>
      <c r="J107" s="315"/>
      <c r="K107" s="322"/>
      <c r="L107" s="315"/>
      <c r="M107" s="313"/>
      <c r="N107" s="319" t="s">
        <v>16</v>
      </c>
      <c r="O107" s="319" t="s">
        <v>16</v>
      </c>
      <c r="P107" s="321"/>
      <c r="Q107" s="320"/>
      <c r="R107" s="313"/>
      <c r="S107" s="319"/>
      <c r="T107" s="319"/>
      <c r="U107" s="319"/>
      <c r="V107" s="319"/>
      <c r="W107" s="319"/>
      <c r="X107" s="319"/>
      <c r="Y107" s="319"/>
      <c r="Z107" s="316" t="str">
        <f>IF(Y107="Yes","Please ensure the UI has been upgraded","")</f>
        <v/>
      </c>
    </row>
    <row r="108" spans="1:26" s="308" customFormat="1" ht="15.75" customHeight="1">
      <c r="A108"/>
      <c r="B108" s="322"/>
      <c r="C108" s="315" t="s">
        <v>309</v>
      </c>
      <c r="D108" s="315">
        <f>B108</f>
        <v>0</v>
      </c>
      <c r="E108" s="322" t="s">
        <v>309</v>
      </c>
      <c r="F108" s="315" t="str">
        <f>IF(B108="","",B108)</f>
        <v/>
      </c>
      <c r="G108" s="323"/>
      <c r="H108" s="322"/>
      <c r="I108" s="315"/>
      <c r="J108" s="315"/>
      <c r="K108" s="322"/>
      <c r="L108" s="315"/>
      <c r="M108" s="313"/>
      <c r="N108" s="319" t="s">
        <v>16</v>
      </c>
      <c r="O108" s="319" t="s">
        <v>16</v>
      </c>
      <c r="P108" s="321"/>
      <c r="Q108" s="320"/>
      <c r="R108" s="313"/>
      <c r="S108" s="319"/>
      <c r="T108" s="319"/>
      <c r="U108" s="319"/>
      <c r="V108" s="319"/>
      <c r="W108" s="319"/>
      <c r="X108" s="319"/>
      <c r="Y108" s="319"/>
      <c r="Z108" s="316" t="str">
        <f>IF(Y108="Yes","Please ensure the UI has been upgraded","")</f>
        <v/>
      </c>
    </row>
    <row r="109" spans="1:26" s="308" customFormat="1" ht="15.75" customHeight="1">
      <c r="A109"/>
      <c r="B109" s="322"/>
      <c r="C109" s="315" t="s">
        <v>309</v>
      </c>
      <c r="D109" s="315">
        <f>B109</f>
        <v>0</v>
      </c>
      <c r="E109" s="322" t="s">
        <v>309</v>
      </c>
      <c r="F109" s="315" t="str">
        <f>IF(B109="","",B109)</f>
        <v/>
      </c>
      <c r="G109" s="323"/>
      <c r="H109" s="322"/>
      <c r="I109" s="315"/>
      <c r="J109" s="315"/>
      <c r="K109" s="322"/>
      <c r="L109" s="315"/>
      <c r="M109" s="313"/>
      <c r="N109" s="319" t="s">
        <v>16</v>
      </c>
      <c r="O109" s="319" t="s">
        <v>16</v>
      </c>
      <c r="P109" s="321"/>
      <c r="Q109" s="320"/>
      <c r="R109" s="313"/>
      <c r="S109" s="319"/>
      <c r="T109" s="319"/>
      <c r="U109" s="319"/>
      <c r="V109" s="319"/>
      <c r="W109" s="319"/>
      <c r="X109" s="319"/>
      <c r="Y109" s="319"/>
      <c r="Z109" s="316" t="str">
        <f>IF(Y109="Yes","Please ensure the UI has been upgraded","")</f>
        <v/>
      </c>
    </row>
    <row r="110" spans="1:26" s="308" customFormat="1" ht="15.75" customHeight="1">
      <c r="A110"/>
      <c r="B110" s="322"/>
      <c r="C110" s="315" t="s">
        <v>309</v>
      </c>
      <c r="D110" s="315">
        <f>B110</f>
        <v>0</v>
      </c>
      <c r="E110" s="322" t="s">
        <v>309</v>
      </c>
      <c r="F110" s="315" t="str">
        <f>IF(B110="","",B110)</f>
        <v/>
      </c>
      <c r="G110" s="323"/>
      <c r="H110" s="322"/>
      <c r="I110" s="315"/>
      <c r="J110" s="315"/>
      <c r="K110" s="322"/>
      <c r="L110" s="315"/>
      <c r="M110" s="313"/>
      <c r="N110" s="319" t="s">
        <v>16</v>
      </c>
      <c r="O110" s="319" t="s">
        <v>16</v>
      </c>
      <c r="P110" s="321"/>
      <c r="Q110" s="320"/>
      <c r="R110" s="313"/>
      <c r="S110" s="319"/>
      <c r="T110" s="319"/>
      <c r="U110" s="319"/>
      <c r="V110" s="319"/>
      <c r="W110" s="319"/>
      <c r="X110" s="319"/>
      <c r="Y110" s="319"/>
      <c r="Z110" s="316" t="str">
        <f>IF(Y110="Yes","Please ensure the UI has been upgraded","")</f>
        <v/>
      </c>
    </row>
    <row r="111" spans="1:26" s="308" customFormat="1" ht="15.75" customHeight="1">
      <c r="A111"/>
      <c r="B111" s="322"/>
      <c r="C111" s="315" t="s">
        <v>309</v>
      </c>
      <c r="D111" s="315">
        <f>B111</f>
        <v>0</v>
      </c>
      <c r="E111" s="322" t="s">
        <v>309</v>
      </c>
      <c r="F111" s="315" t="str">
        <f>IF(B111="","",B111)</f>
        <v/>
      </c>
      <c r="G111" s="323"/>
      <c r="H111" s="322"/>
      <c r="I111" s="315"/>
      <c r="J111" s="315"/>
      <c r="K111" s="322"/>
      <c r="L111" s="315"/>
      <c r="M111" s="313"/>
      <c r="N111" s="319" t="s">
        <v>16</v>
      </c>
      <c r="O111" s="319" t="s">
        <v>16</v>
      </c>
      <c r="P111" s="321"/>
      <c r="Q111" s="320"/>
      <c r="R111" s="313"/>
      <c r="S111" s="319"/>
      <c r="T111" s="319"/>
      <c r="U111" s="319"/>
      <c r="V111" s="319"/>
      <c r="W111" s="319"/>
      <c r="X111" s="319"/>
      <c r="Y111" s="319"/>
      <c r="Z111" s="316" t="str">
        <f>IF(Y111="Yes","Please ensure the UI has been upgraded","")</f>
        <v/>
      </c>
    </row>
    <row r="112" spans="1:26" s="308" customFormat="1" ht="15.75" customHeight="1">
      <c r="A112"/>
      <c r="B112" s="322"/>
      <c r="C112" s="315" t="s">
        <v>309</v>
      </c>
      <c r="D112" s="315">
        <f>B112</f>
        <v>0</v>
      </c>
      <c r="E112" s="322" t="s">
        <v>309</v>
      </c>
      <c r="F112" s="315" t="str">
        <f>IF(B112="","",B112)</f>
        <v/>
      </c>
      <c r="G112" s="323"/>
      <c r="H112" s="322"/>
      <c r="I112" s="315"/>
      <c r="J112" s="315"/>
      <c r="K112" s="322"/>
      <c r="L112" s="315"/>
      <c r="M112" s="313"/>
      <c r="N112" s="319" t="s">
        <v>16</v>
      </c>
      <c r="O112" s="319" t="s">
        <v>16</v>
      </c>
      <c r="P112" s="321"/>
      <c r="Q112" s="320"/>
      <c r="R112" s="313"/>
      <c r="S112" s="319"/>
      <c r="T112" s="319"/>
      <c r="U112" s="319"/>
      <c r="V112" s="319"/>
      <c r="W112" s="319"/>
      <c r="X112" s="319"/>
      <c r="Y112" s="319"/>
      <c r="Z112" s="316" t="str">
        <f>IF(Y112="Yes","Please ensure the UI has been upgraded","")</f>
        <v/>
      </c>
    </row>
    <row r="113" spans="1:26" s="308" customFormat="1" ht="15.75" customHeight="1">
      <c r="A113"/>
      <c r="B113" s="322"/>
      <c r="C113" s="315" t="s">
        <v>309</v>
      </c>
      <c r="D113" s="315">
        <f>B113</f>
        <v>0</v>
      </c>
      <c r="E113" s="322" t="s">
        <v>309</v>
      </c>
      <c r="F113" s="315" t="str">
        <f>IF(B113="","",B113)</f>
        <v/>
      </c>
      <c r="G113" s="323"/>
      <c r="H113" s="322"/>
      <c r="I113" s="315"/>
      <c r="J113" s="315"/>
      <c r="K113" s="322"/>
      <c r="L113" s="315"/>
      <c r="M113" s="313"/>
      <c r="N113" s="319" t="s">
        <v>16</v>
      </c>
      <c r="O113" s="319" t="s">
        <v>16</v>
      </c>
      <c r="P113" s="321"/>
      <c r="Q113" s="320"/>
      <c r="R113" s="313"/>
      <c r="S113" s="319"/>
      <c r="T113" s="319"/>
      <c r="U113" s="319"/>
      <c r="V113" s="319"/>
      <c r="W113" s="319"/>
      <c r="X113" s="319"/>
      <c r="Y113" s="319"/>
      <c r="Z113" s="316"/>
    </row>
    <row r="114" spans="1:26" s="308" customFormat="1" ht="15.75" customHeight="1">
      <c r="A114"/>
      <c r="B114" s="322"/>
      <c r="C114" s="315" t="s">
        <v>309</v>
      </c>
      <c r="D114" s="315">
        <f>B114</f>
        <v>0</v>
      </c>
      <c r="E114" s="322" t="s">
        <v>309</v>
      </c>
      <c r="F114" s="315" t="str">
        <f>IF(B114="","",B114)</f>
        <v/>
      </c>
      <c r="G114" s="323"/>
      <c r="H114" s="322"/>
      <c r="I114" s="315"/>
      <c r="J114" s="315"/>
      <c r="K114" s="322"/>
      <c r="L114" s="315"/>
      <c r="M114" s="313"/>
      <c r="N114" s="319" t="s">
        <v>16</v>
      </c>
      <c r="O114" s="319" t="s">
        <v>16</v>
      </c>
      <c r="P114" s="321"/>
      <c r="Q114" s="320"/>
      <c r="R114" s="313"/>
      <c r="S114" s="319"/>
      <c r="T114" s="319"/>
      <c r="U114" s="319"/>
      <c r="V114" s="319"/>
      <c r="W114" s="319"/>
      <c r="X114" s="319"/>
      <c r="Y114" s="319"/>
      <c r="Z114" s="316"/>
    </row>
    <row r="115" spans="1:26" s="308" customFormat="1" ht="15.75" customHeight="1">
      <c r="A115"/>
      <c r="B115" s="322"/>
      <c r="C115" s="315" t="s">
        <v>309</v>
      </c>
      <c r="D115" s="315">
        <f>B115</f>
        <v>0</v>
      </c>
      <c r="E115" s="322" t="s">
        <v>309</v>
      </c>
      <c r="F115" s="315" t="str">
        <f>IF(B115="","",B115)</f>
        <v/>
      </c>
      <c r="G115" s="323"/>
      <c r="H115" s="322"/>
      <c r="I115" s="315"/>
      <c r="J115" s="315"/>
      <c r="K115" s="322"/>
      <c r="L115" s="315"/>
      <c r="M115" s="313"/>
      <c r="N115" s="319" t="s">
        <v>16</v>
      </c>
      <c r="O115" s="319" t="s">
        <v>16</v>
      </c>
      <c r="P115" s="321"/>
      <c r="Q115" s="320"/>
      <c r="R115" s="313"/>
      <c r="S115" s="319"/>
      <c r="T115" s="319"/>
      <c r="U115" s="319"/>
      <c r="V115" s="319"/>
      <c r="W115" s="319"/>
      <c r="X115" s="319"/>
      <c r="Y115" s="319"/>
      <c r="Z115" s="316"/>
    </row>
    <row r="116" spans="1:26" s="308" customFormat="1" ht="15.75" customHeight="1">
      <c r="A116"/>
      <c r="B116" s="322"/>
      <c r="C116" s="315" t="s">
        <v>309</v>
      </c>
      <c r="D116" s="315">
        <f>B116</f>
        <v>0</v>
      </c>
      <c r="E116" s="322" t="s">
        <v>309</v>
      </c>
      <c r="F116" s="315" t="str">
        <f>IF(B116="","",B116)</f>
        <v/>
      </c>
      <c r="G116" s="323"/>
      <c r="H116" s="322"/>
      <c r="I116" s="315"/>
      <c r="J116" s="315"/>
      <c r="K116" s="322"/>
      <c r="L116" s="315"/>
      <c r="M116" s="313"/>
      <c r="N116" s="319" t="s">
        <v>16</v>
      </c>
      <c r="O116" s="319" t="s">
        <v>16</v>
      </c>
      <c r="P116" s="321"/>
      <c r="Q116" s="320"/>
      <c r="R116" s="313"/>
      <c r="S116" s="319"/>
      <c r="T116" s="319"/>
      <c r="U116" s="319"/>
      <c r="V116" s="319"/>
      <c r="W116" s="319"/>
      <c r="X116" s="319"/>
      <c r="Y116" s="319"/>
      <c r="Z116" s="316"/>
    </row>
    <row r="117" spans="1:26" s="308" customFormat="1" ht="15.75" customHeight="1">
      <c r="A117"/>
      <c r="B117" s="322"/>
      <c r="C117" s="315" t="s">
        <v>309</v>
      </c>
      <c r="D117" s="315">
        <f>B117</f>
        <v>0</v>
      </c>
      <c r="E117" s="322" t="s">
        <v>309</v>
      </c>
      <c r="F117" s="315" t="str">
        <f>IF(B117="","",B117)</f>
        <v/>
      </c>
      <c r="G117" s="323"/>
      <c r="H117" s="322"/>
      <c r="I117" s="315"/>
      <c r="J117" s="315"/>
      <c r="K117" s="322"/>
      <c r="L117" s="315"/>
      <c r="M117" s="313"/>
      <c r="N117" s="319" t="s">
        <v>16</v>
      </c>
      <c r="O117" s="319" t="s">
        <v>16</v>
      </c>
      <c r="P117" s="321"/>
      <c r="Q117" s="320"/>
      <c r="R117" s="313"/>
      <c r="S117" s="319"/>
      <c r="T117" s="319"/>
      <c r="U117" s="319"/>
      <c r="V117" s="319"/>
      <c r="W117" s="319"/>
      <c r="X117" s="319"/>
      <c r="Y117" s="319"/>
      <c r="Z117" s="316"/>
    </row>
    <row r="118" spans="1:26" s="308" customFormat="1" ht="15.75" customHeight="1">
      <c r="A118"/>
      <c r="B118" s="322"/>
      <c r="C118" s="315" t="s">
        <v>309</v>
      </c>
      <c r="D118" s="315">
        <f>B118</f>
        <v>0</v>
      </c>
      <c r="E118" s="322" t="s">
        <v>309</v>
      </c>
      <c r="F118" s="315" t="str">
        <f>IF(B118="","",B118)</f>
        <v/>
      </c>
      <c r="G118" s="323"/>
      <c r="H118" s="322"/>
      <c r="I118" s="315"/>
      <c r="J118" s="315"/>
      <c r="K118" s="322"/>
      <c r="L118" s="315"/>
      <c r="M118" s="313"/>
      <c r="N118" s="319" t="s">
        <v>16</v>
      </c>
      <c r="O118" s="319" t="s">
        <v>16</v>
      </c>
      <c r="P118" s="321"/>
      <c r="Q118" s="320"/>
      <c r="R118" s="313"/>
      <c r="S118" s="319"/>
      <c r="T118" s="319"/>
      <c r="U118" s="319"/>
      <c r="V118" s="319"/>
      <c r="W118" s="319"/>
      <c r="X118" s="319"/>
      <c r="Y118" s="319"/>
      <c r="Z118" s="316" t="str">
        <f>IF(Y118="Yes","Please ensure the UI has been upgraded","")</f>
        <v/>
      </c>
    </row>
    <row r="119" spans="1:26" s="308" customFormat="1" ht="15.75" customHeight="1">
      <c r="A119"/>
      <c r="B119" s="322"/>
      <c r="C119" s="315" t="s">
        <v>309</v>
      </c>
      <c r="D119" s="315">
        <f>B119</f>
        <v>0</v>
      </c>
      <c r="E119" s="322" t="s">
        <v>309</v>
      </c>
      <c r="F119" s="315" t="str">
        <f>IF(B119="","",B119)</f>
        <v/>
      </c>
      <c r="G119" s="323"/>
      <c r="H119" s="322"/>
      <c r="I119" s="315"/>
      <c r="J119" s="315"/>
      <c r="K119" s="322"/>
      <c r="L119" s="315"/>
      <c r="M119" s="313"/>
      <c r="N119" s="319" t="s">
        <v>16</v>
      </c>
      <c r="O119" s="319" t="s">
        <v>16</v>
      </c>
      <c r="P119" s="321"/>
      <c r="Q119" s="320"/>
      <c r="R119" s="313"/>
      <c r="S119" s="319"/>
      <c r="T119" s="319"/>
      <c r="U119" s="319"/>
      <c r="V119" s="319"/>
      <c r="W119" s="319"/>
      <c r="X119" s="319"/>
      <c r="Y119" s="319"/>
      <c r="Z119" s="316" t="str">
        <f>IF(Y119="Yes","Please ensure the UI has been upgraded","")</f>
        <v/>
      </c>
    </row>
    <row r="120" spans="1:26" s="308" customFormat="1" ht="15.75" customHeight="1">
      <c r="A120"/>
      <c r="B120" s="322"/>
      <c r="C120" s="315" t="s">
        <v>309</v>
      </c>
      <c r="D120" s="315">
        <f>B120</f>
        <v>0</v>
      </c>
      <c r="E120" s="322" t="s">
        <v>309</v>
      </c>
      <c r="F120" s="315" t="str">
        <f>IF(B120="","",B120)</f>
        <v/>
      </c>
      <c r="G120" s="323"/>
      <c r="H120" s="322"/>
      <c r="I120" s="315"/>
      <c r="J120" s="315"/>
      <c r="K120" s="322"/>
      <c r="L120" s="315"/>
      <c r="M120" s="313"/>
      <c r="N120" s="319" t="s">
        <v>16</v>
      </c>
      <c r="O120" s="319" t="s">
        <v>16</v>
      </c>
      <c r="P120" s="321"/>
      <c r="Q120" s="320"/>
      <c r="R120" s="313"/>
      <c r="S120" s="319"/>
      <c r="T120" s="319"/>
      <c r="U120" s="319"/>
      <c r="V120" s="319"/>
      <c r="W120" s="319"/>
      <c r="X120" s="319"/>
      <c r="Y120" s="319"/>
      <c r="Z120" s="316" t="str">
        <f>IF(Y120="Yes","Please ensure the UI has been upgraded","")</f>
        <v/>
      </c>
    </row>
    <row r="121" spans="1:26" s="308" customFormat="1" ht="15.75" customHeight="1">
      <c r="A121"/>
      <c r="B121" s="322"/>
      <c r="C121" s="315" t="s">
        <v>309</v>
      </c>
      <c r="D121" s="315">
        <f>B121</f>
        <v>0</v>
      </c>
      <c r="E121" s="322" t="s">
        <v>309</v>
      </c>
      <c r="F121" s="315" t="str">
        <f>IF(B121="","",B121)</f>
        <v/>
      </c>
      <c r="G121" s="323"/>
      <c r="H121" s="322"/>
      <c r="I121" s="315"/>
      <c r="J121" s="315"/>
      <c r="K121" s="322"/>
      <c r="L121" s="315"/>
      <c r="M121" s="313"/>
      <c r="N121" s="319" t="s">
        <v>16</v>
      </c>
      <c r="O121" s="319" t="s">
        <v>16</v>
      </c>
      <c r="P121" s="321"/>
      <c r="Q121" s="320"/>
      <c r="R121" s="313"/>
      <c r="S121" s="319"/>
      <c r="T121" s="319"/>
      <c r="U121" s="319"/>
      <c r="V121" s="319"/>
      <c r="W121" s="319"/>
      <c r="X121" s="319"/>
      <c r="Y121" s="319"/>
      <c r="Z121" s="316" t="str">
        <f>IF(Y121="Yes","Please ensure the UI has been upgraded","")</f>
        <v/>
      </c>
    </row>
    <row r="122" spans="1:26" s="308" customFormat="1" ht="15.75" customHeight="1">
      <c r="A122"/>
      <c r="B122" s="322"/>
      <c r="C122" s="315" t="s">
        <v>309</v>
      </c>
      <c r="D122" s="315">
        <f>B122</f>
        <v>0</v>
      </c>
      <c r="E122" s="322" t="s">
        <v>309</v>
      </c>
      <c r="F122" s="315" t="str">
        <f>IF(B122="","",B122)</f>
        <v/>
      </c>
      <c r="G122" s="323"/>
      <c r="H122" s="322"/>
      <c r="I122" s="315"/>
      <c r="J122" s="315"/>
      <c r="K122" s="322"/>
      <c r="L122" s="315"/>
      <c r="M122" s="313"/>
      <c r="N122" s="319" t="s">
        <v>16</v>
      </c>
      <c r="O122" s="319" t="s">
        <v>16</v>
      </c>
      <c r="P122" s="321"/>
      <c r="Q122" s="320"/>
      <c r="R122" s="313"/>
      <c r="S122" s="319"/>
      <c r="T122" s="319"/>
      <c r="U122" s="319"/>
      <c r="V122" s="319"/>
      <c r="W122" s="319"/>
      <c r="X122" s="319"/>
      <c r="Y122" s="319"/>
      <c r="Z122" s="316" t="str">
        <f>IF(Y122="Yes","Please ensure the UI has been upgraded","")</f>
        <v/>
      </c>
    </row>
    <row r="123" spans="1:26" s="308" customFormat="1" ht="15.75" customHeight="1">
      <c r="A123"/>
      <c r="B123" s="322"/>
      <c r="C123" s="315" t="s">
        <v>309</v>
      </c>
      <c r="D123" s="315">
        <f>B123</f>
        <v>0</v>
      </c>
      <c r="E123" s="322" t="s">
        <v>309</v>
      </c>
      <c r="F123" s="315" t="str">
        <f>IF(B123="","",B123)</f>
        <v/>
      </c>
      <c r="G123" s="323"/>
      <c r="H123" s="322"/>
      <c r="I123" s="315"/>
      <c r="J123" s="315"/>
      <c r="K123" s="322"/>
      <c r="L123" s="315"/>
      <c r="M123" s="313"/>
      <c r="N123" s="319" t="s">
        <v>16</v>
      </c>
      <c r="O123" s="319" t="s">
        <v>16</v>
      </c>
      <c r="P123" s="321"/>
      <c r="Q123" s="320"/>
      <c r="R123" s="313"/>
      <c r="S123" s="319"/>
      <c r="T123" s="319"/>
      <c r="U123" s="319"/>
      <c r="V123" s="319"/>
      <c r="W123" s="319"/>
      <c r="X123" s="319"/>
      <c r="Y123" s="319"/>
      <c r="Z123" s="316" t="str">
        <f>IF(Y123="Yes","Please ensure the UI has been upgraded","")</f>
        <v/>
      </c>
    </row>
    <row r="124" spans="1:26" s="308" customFormat="1" ht="15.75" customHeight="1">
      <c r="A124"/>
      <c r="B124" s="322"/>
      <c r="C124" s="315" t="s">
        <v>309</v>
      </c>
      <c r="D124" s="315">
        <f>B124</f>
        <v>0</v>
      </c>
      <c r="E124" s="322" t="s">
        <v>309</v>
      </c>
      <c r="F124" s="315" t="str">
        <f>IF(B124="","",B124)</f>
        <v/>
      </c>
      <c r="G124" s="323"/>
      <c r="H124" s="322"/>
      <c r="I124" s="315"/>
      <c r="J124" s="315"/>
      <c r="K124" s="322"/>
      <c r="L124" s="315"/>
      <c r="M124" s="313"/>
      <c r="N124" s="319" t="s">
        <v>16</v>
      </c>
      <c r="O124" s="319" t="s">
        <v>16</v>
      </c>
      <c r="P124" s="321"/>
      <c r="Q124" s="320"/>
      <c r="R124" s="313"/>
      <c r="S124" s="319"/>
      <c r="T124" s="319"/>
      <c r="U124" s="319"/>
      <c r="V124" s="319"/>
      <c r="W124" s="319"/>
      <c r="X124" s="319"/>
      <c r="Y124" s="319"/>
      <c r="Z124" s="316" t="str">
        <f>IF(Y124="Yes","Please ensure the UI has been upgraded","")</f>
        <v/>
      </c>
    </row>
    <row r="125" spans="1:26" s="308" customFormat="1" ht="15.75" customHeight="1">
      <c r="A125"/>
      <c r="B125" s="322"/>
      <c r="C125" s="315" t="s">
        <v>309</v>
      </c>
      <c r="D125" s="315">
        <f>B125</f>
        <v>0</v>
      </c>
      <c r="E125" s="322" t="s">
        <v>309</v>
      </c>
      <c r="F125" s="315" t="str">
        <f>IF(B125="","",B125)</f>
        <v/>
      </c>
      <c r="G125" s="323"/>
      <c r="H125" s="322"/>
      <c r="I125" s="315"/>
      <c r="J125" s="315"/>
      <c r="K125" s="322"/>
      <c r="L125" s="315"/>
      <c r="M125" s="313"/>
      <c r="N125" s="319" t="s">
        <v>16</v>
      </c>
      <c r="O125" s="319" t="s">
        <v>16</v>
      </c>
      <c r="P125" s="321"/>
      <c r="Q125" s="320"/>
      <c r="R125" s="313"/>
      <c r="S125" s="319"/>
      <c r="T125" s="319"/>
      <c r="U125" s="319"/>
      <c r="V125" s="319"/>
      <c r="W125" s="319"/>
      <c r="X125" s="319"/>
      <c r="Y125" s="319"/>
      <c r="Z125" s="316" t="str">
        <f>IF(Y125="Yes","Please ensure the UI has been upgraded","")</f>
        <v/>
      </c>
    </row>
    <row r="126" spans="1:26" s="308" customFormat="1" ht="15.75" customHeight="1">
      <c r="A126"/>
      <c r="B126" s="322"/>
      <c r="C126" s="315" t="s">
        <v>309</v>
      </c>
      <c r="D126" s="315">
        <f>B126</f>
        <v>0</v>
      </c>
      <c r="E126" s="322" t="s">
        <v>309</v>
      </c>
      <c r="F126" s="315" t="str">
        <f>IF(B126="","",B126)</f>
        <v/>
      </c>
      <c r="G126" s="323"/>
      <c r="H126" s="322"/>
      <c r="I126" s="315"/>
      <c r="J126" s="315"/>
      <c r="K126" s="322"/>
      <c r="L126" s="315"/>
      <c r="M126" s="313"/>
      <c r="N126" s="319" t="s">
        <v>16</v>
      </c>
      <c r="O126" s="319" t="s">
        <v>16</v>
      </c>
      <c r="P126" s="321"/>
      <c r="Q126" s="320"/>
      <c r="R126" s="313"/>
      <c r="S126" s="319"/>
      <c r="T126" s="319"/>
      <c r="U126" s="319"/>
      <c r="V126" s="319"/>
      <c r="W126" s="319"/>
      <c r="X126" s="319"/>
      <c r="Y126" s="319"/>
      <c r="Z126" s="316" t="str">
        <f>IF(Y126="Yes","Please ensure the UI has been upgraded","")</f>
        <v/>
      </c>
    </row>
    <row r="127" spans="1:26" s="308" customFormat="1" ht="15.75" customHeight="1">
      <c r="A127"/>
      <c r="B127" s="322"/>
      <c r="C127" s="315" t="s">
        <v>309</v>
      </c>
      <c r="D127" s="315">
        <f>B127</f>
        <v>0</v>
      </c>
      <c r="E127" s="322" t="s">
        <v>309</v>
      </c>
      <c r="F127" s="315" t="str">
        <f>IF(B127="","",B127)</f>
        <v/>
      </c>
      <c r="G127" s="323"/>
      <c r="H127" s="322"/>
      <c r="I127" s="315"/>
      <c r="J127" s="315"/>
      <c r="K127" s="322"/>
      <c r="L127" s="315"/>
      <c r="M127" s="313"/>
      <c r="N127" s="319" t="s">
        <v>16</v>
      </c>
      <c r="O127" s="319" t="s">
        <v>16</v>
      </c>
      <c r="P127" s="321"/>
      <c r="Q127" s="320"/>
      <c r="R127" s="313"/>
      <c r="S127" s="319"/>
      <c r="T127" s="319"/>
      <c r="U127" s="319"/>
      <c r="V127" s="319"/>
      <c r="W127" s="319"/>
      <c r="X127" s="319"/>
      <c r="Y127" s="319"/>
      <c r="Z127" s="316" t="str">
        <f>IF(Y127="Yes","Please ensure the UI has been upgraded","")</f>
        <v/>
      </c>
    </row>
    <row r="128" spans="1:26" s="308" customFormat="1" ht="15.75" customHeight="1">
      <c r="A128"/>
      <c r="B128" s="322"/>
      <c r="C128" s="315" t="s">
        <v>309</v>
      </c>
      <c r="D128" s="315">
        <f>B128</f>
        <v>0</v>
      </c>
      <c r="E128" s="322" t="s">
        <v>309</v>
      </c>
      <c r="F128" s="315" t="str">
        <f>IF(B128="","",B128)</f>
        <v/>
      </c>
      <c r="G128" s="323"/>
      <c r="H128" s="322"/>
      <c r="I128" s="315"/>
      <c r="J128" s="315"/>
      <c r="K128" s="322"/>
      <c r="L128" s="315"/>
      <c r="M128" s="313"/>
      <c r="N128" s="319" t="s">
        <v>16</v>
      </c>
      <c r="O128" s="319" t="s">
        <v>16</v>
      </c>
      <c r="P128" s="321"/>
      <c r="Q128" s="320"/>
      <c r="R128" s="313"/>
      <c r="S128" s="319"/>
      <c r="T128" s="319"/>
      <c r="U128" s="319"/>
      <c r="V128" s="319"/>
      <c r="W128" s="319"/>
      <c r="X128" s="319"/>
      <c r="Y128" s="319"/>
      <c r="Z128" s="316" t="str">
        <f>IF(Y128="Yes","Please ensure the UI has been upgraded","")</f>
        <v/>
      </c>
    </row>
    <row r="129" spans="1:26" s="308" customFormat="1" ht="15.75" customHeight="1">
      <c r="A129"/>
      <c r="B129" s="322"/>
      <c r="C129" s="315" t="s">
        <v>309</v>
      </c>
      <c r="D129" s="315">
        <f>B129</f>
        <v>0</v>
      </c>
      <c r="E129" s="322" t="s">
        <v>309</v>
      </c>
      <c r="F129" s="315" t="str">
        <f>IF(B129="","",B129)</f>
        <v/>
      </c>
      <c r="G129" s="323"/>
      <c r="H129" s="322"/>
      <c r="I129" s="315"/>
      <c r="J129" s="315"/>
      <c r="K129" s="322"/>
      <c r="L129" s="315"/>
      <c r="M129" s="313"/>
      <c r="N129" s="319" t="s">
        <v>16</v>
      </c>
      <c r="O129" s="319" t="s">
        <v>16</v>
      </c>
      <c r="P129" s="321"/>
      <c r="Q129" s="320"/>
      <c r="R129" s="313"/>
      <c r="S129" s="319"/>
      <c r="T129" s="319"/>
      <c r="U129" s="319"/>
      <c r="V129" s="319"/>
      <c r="W129" s="319"/>
      <c r="X129" s="319"/>
      <c r="Y129" s="319"/>
      <c r="Z129" s="316" t="str">
        <f>IF(Y129="Yes","Please ensure the UI has been upgraded","")</f>
        <v/>
      </c>
    </row>
    <row r="130" spans="1:26" s="308" customFormat="1" ht="15.75" customHeight="1">
      <c r="A130"/>
      <c r="B130" s="322"/>
      <c r="C130" s="315" t="s">
        <v>309</v>
      </c>
      <c r="D130" s="315">
        <f>B130</f>
        <v>0</v>
      </c>
      <c r="E130" s="322" t="s">
        <v>309</v>
      </c>
      <c r="F130" s="315" t="str">
        <f>IF(B130="","",B130)</f>
        <v/>
      </c>
      <c r="G130" s="323"/>
      <c r="H130" s="322"/>
      <c r="I130" s="315"/>
      <c r="J130" s="315"/>
      <c r="K130" s="322"/>
      <c r="L130" s="315"/>
      <c r="M130" s="313"/>
      <c r="N130" s="319" t="s">
        <v>16</v>
      </c>
      <c r="O130" s="319" t="s">
        <v>16</v>
      </c>
      <c r="P130" s="321"/>
      <c r="Q130" s="320"/>
      <c r="R130" s="313"/>
      <c r="S130" s="319"/>
      <c r="T130" s="319"/>
      <c r="U130" s="319"/>
      <c r="V130" s="319"/>
      <c r="W130" s="319"/>
      <c r="X130" s="319"/>
      <c r="Y130" s="319"/>
      <c r="Z130" s="316" t="str">
        <f>IF(Y130="Yes","Please ensure the UI has been upgraded","")</f>
        <v/>
      </c>
    </row>
    <row r="131" spans="1:26" s="308" customFormat="1" ht="15.75" customHeight="1">
      <c r="A131"/>
      <c r="B131" s="322"/>
      <c r="C131" s="315" t="s">
        <v>309</v>
      </c>
      <c r="D131" s="315">
        <f>B131</f>
        <v>0</v>
      </c>
      <c r="E131" s="322" t="s">
        <v>309</v>
      </c>
      <c r="F131" s="315" t="str">
        <f>IF(B131="","",B131)</f>
        <v/>
      </c>
      <c r="G131" s="323"/>
      <c r="H131" s="322"/>
      <c r="I131" s="315"/>
      <c r="J131" s="315"/>
      <c r="K131" s="322"/>
      <c r="L131" s="315"/>
      <c r="M131" s="313"/>
      <c r="N131" s="319" t="s">
        <v>16</v>
      </c>
      <c r="O131" s="319" t="s">
        <v>16</v>
      </c>
      <c r="P131" s="321"/>
      <c r="Q131" s="320"/>
      <c r="R131" s="313"/>
      <c r="S131" s="319"/>
      <c r="T131" s="319"/>
      <c r="U131" s="319"/>
      <c r="V131" s="319"/>
      <c r="W131" s="319"/>
      <c r="X131" s="319"/>
      <c r="Y131" s="319"/>
      <c r="Z131" s="316"/>
    </row>
    <row r="132" spans="1:26" s="308" customFormat="1" ht="15.75" customHeight="1">
      <c r="A132"/>
      <c r="B132" s="322"/>
      <c r="C132" s="315" t="s">
        <v>309</v>
      </c>
      <c r="D132" s="315">
        <f>B132</f>
        <v>0</v>
      </c>
      <c r="E132" s="322" t="s">
        <v>309</v>
      </c>
      <c r="F132" s="315" t="str">
        <f>IF(B132="","",B132)</f>
        <v/>
      </c>
      <c r="G132" s="323"/>
      <c r="H132" s="322"/>
      <c r="I132" s="315"/>
      <c r="J132" s="315"/>
      <c r="K132" s="322"/>
      <c r="L132" s="315"/>
      <c r="M132" s="313"/>
      <c r="N132" s="319" t="s">
        <v>16</v>
      </c>
      <c r="O132" s="319" t="s">
        <v>16</v>
      </c>
      <c r="P132" s="321"/>
      <c r="Q132" s="320"/>
      <c r="R132" s="313"/>
      <c r="S132" s="319"/>
      <c r="T132" s="319"/>
      <c r="U132" s="319"/>
      <c r="V132" s="319"/>
      <c r="W132" s="319"/>
      <c r="X132" s="319"/>
      <c r="Y132" s="319"/>
      <c r="Z132" s="316"/>
    </row>
    <row r="133" spans="1:26" s="308" customFormat="1" ht="15.75" customHeight="1">
      <c r="A133"/>
      <c r="B133" s="322"/>
      <c r="C133" s="315" t="s">
        <v>309</v>
      </c>
      <c r="D133" s="315">
        <f>B133</f>
        <v>0</v>
      </c>
      <c r="E133" s="322" t="s">
        <v>309</v>
      </c>
      <c r="F133" s="315" t="str">
        <f>IF(B133="","",B133)</f>
        <v/>
      </c>
      <c r="G133" s="323"/>
      <c r="H133" s="322"/>
      <c r="I133" s="315"/>
      <c r="J133" s="315"/>
      <c r="K133" s="322"/>
      <c r="L133" s="315"/>
      <c r="M133" s="313"/>
      <c r="N133" s="319" t="s">
        <v>16</v>
      </c>
      <c r="O133" s="319" t="s">
        <v>16</v>
      </c>
      <c r="P133" s="321"/>
      <c r="Q133" s="320"/>
      <c r="R133" s="313"/>
      <c r="S133" s="319"/>
      <c r="T133" s="319"/>
      <c r="U133" s="319"/>
      <c r="V133" s="319"/>
      <c r="W133" s="319"/>
      <c r="X133" s="319"/>
      <c r="Y133" s="319"/>
      <c r="Z133" s="316"/>
    </row>
    <row r="134" spans="1:26" s="308" customFormat="1" ht="15.75" customHeight="1">
      <c r="A134"/>
      <c r="B134" s="322"/>
      <c r="C134" s="315" t="s">
        <v>309</v>
      </c>
      <c r="D134" s="315">
        <f>B134</f>
        <v>0</v>
      </c>
      <c r="E134" s="322" t="s">
        <v>309</v>
      </c>
      <c r="F134" s="315" t="str">
        <f>IF(B134="","",B134)</f>
        <v/>
      </c>
      <c r="G134" s="323"/>
      <c r="H134" s="322"/>
      <c r="I134" s="315"/>
      <c r="J134" s="315"/>
      <c r="K134" s="322"/>
      <c r="L134" s="315"/>
      <c r="M134" s="313"/>
      <c r="N134" s="319" t="s">
        <v>16</v>
      </c>
      <c r="O134" s="319" t="s">
        <v>16</v>
      </c>
      <c r="P134" s="321"/>
      <c r="Q134" s="320"/>
      <c r="R134" s="313"/>
      <c r="S134" s="319"/>
      <c r="T134" s="319"/>
      <c r="U134" s="319"/>
      <c r="V134" s="319"/>
      <c r="W134" s="319"/>
      <c r="X134" s="319"/>
      <c r="Y134" s="319"/>
      <c r="Z134" s="316"/>
    </row>
    <row r="135" spans="1:26" s="308" customFormat="1" ht="15.75" customHeight="1">
      <c r="A135"/>
      <c r="B135" s="322"/>
      <c r="C135" s="315" t="s">
        <v>309</v>
      </c>
      <c r="D135" s="315">
        <f>B135</f>
        <v>0</v>
      </c>
      <c r="E135" s="322" t="s">
        <v>309</v>
      </c>
      <c r="F135" s="315" t="str">
        <f>IF(B135="","",B135)</f>
        <v/>
      </c>
      <c r="G135" s="323"/>
      <c r="H135" s="322"/>
      <c r="I135" s="315"/>
      <c r="J135" s="315"/>
      <c r="K135" s="322"/>
      <c r="L135" s="315"/>
      <c r="M135" s="313"/>
      <c r="N135" s="319" t="s">
        <v>16</v>
      </c>
      <c r="O135" s="319" t="s">
        <v>16</v>
      </c>
      <c r="P135" s="321"/>
      <c r="Q135" s="320"/>
      <c r="R135" s="313"/>
      <c r="S135" s="319"/>
      <c r="T135" s="319"/>
      <c r="U135" s="319"/>
      <c r="V135" s="319"/>
      <c r="W135" s="319"/>
      <c r="X135" s="319"/>
      <c r="Y135" s="319"/>
      <c r="Z135" s="316"/>
    </row>
    <row r="136" spans="1:26" s="308" customFormat="1" ht="15.75" customHeight="1">
      <c r="A136"/>
      <c r="B136" s="322"/>
      <c r="C136" s="315" t="s">
        <v>309</v>
      </c>
      <c r="D136" s="315">
        <f>B136</f>
        <v>0</v>
      </c>
      <c r="E136" s="322" t="s">
        <v>309</v>
      </c>
      <c r="F136" s="315" t="str">
        <f>IF(B136="","",B136)</f>
        <v/>
      </c>
      <c r="G136" s="323"/>
      <c r="H136" s="322"/>
      <c r="I136" s="315"/>
      <c r="J136" s="315"/>
      <c r="K136" s="322"/>
      <c r="L136" s="315"/>
      <c r="M136" s="313"/>
      <c r="N136" s="319" t="s">
        <v>16</v>
      </c>
      <c r="O136" s="319" t="s">
        <v>16</v>
      </c>
      <c r="P136" s="321"/>
      <c r="Q136" s="320"/>
      <c r="R136" s="313"/>
      <c r="S136" s="319"/>
      <c r="T136" s="319"/>
      <c r="U136" s="319"/>
      <c r="V136" s="319"/>
      <c r="W136" s="319"/>
      <c r="X136" s="319"/>
      <c r="Y136" s="319"/>
      <c r="Z136" s="316" t="str">
        <f>IF(Y136="Yes","Please ensure the UI has been upgraded","")</f>
        <v/>
      </c>
    </row>
    <row r="137" spans="1:26" s="308" customFormat="1" ht="15.75" customHeight="1">
      <c r="A137"/>
      <c r="B137" s="322"/>
      <c r="C137" s="315" t="s">
        <v>309</v>
      </c>
      <c r="D137" s="315">
        <f>B137</f>
        <v>0</v>
      </c>
      <c r="E137" s="322" t="s">
        <v>309</v>
      </c>
      <c r="F137" s="315" t="str">
        <f>IF(B137="","",B137)</f>
        <v/>
      </c>
      <c r="G137" s="323"/>
      <c r="H137" s="322"/>
      <c r="I137" s="315"/>
      <c r="J137" s="315"/>
      <c r="K137" s="322"/>
      <c r="L137" s="315"/>
      <c r="M137" s="313"/>
      <c r="N137" s="319" t="s">
        <v>16</v>
      </c>
      <c r="O137" s="319" t="s">
        <v>16</v>
      </c>
      <c r="P137" s="321"/>
      <c r="Q137" s="320"/>
      <c r="R137" s="313"/>
      <c r="S137" s="319"/>
      <c r="T137" s="319"/>
      <c r="U137" s="319"/>
      <c r="V137" s="319"/>
      <c r="W137" s="319"/>
      <c r="X137" s="319"/>
      <c r="Y137" s="319"/>
      <c r="Z137" s="316" t="str">
        <f>IF(Y137="Yes","Please ensure the UI has been upgraded","")</f>
        <v/>
      </c>
    </row>
    <row r="138" spans="1:26" s="308" customFormat="1" ht="15.75" customHeight="1">
      <c r="A138"/>
      <c r="B138" s="322"/>
      <c r="C138" s="315" t="s">
        <v>309</v>
      </c>
      <c r="D138" s="315">
        <f>B138</f>
        <v>0</v>
      </c>
      <c r="E138" s="322" t="s">
        <v>309</v>
      </c>
      <c r="F138" s="315" t="str">
        <f>IF(B138="","",B138)</f>
        <v/>
      </c>
      <c r="G138" s="323"/>
      <c r="H138" s="322"/>
      <c r="I138" s="315"/>
      <c r="J138" s="315"/>
      <c r="K138" s="322"/>
      <c r="L138" s="315"/>
      <c r="M138" s="313"/>
      <c r="N138" s="319" t="s">
        <v>16</v>
      </c>
      <c r="O138" s="319" t="s">
        <v>16</v>
      </c>
      <c r="P138" s="321"/>
      <c r="Q138" s="320"/>
      <c r="R138" s="313"/>
      <c r="S138" s="319"/>
      <c r="T138" s="319"/>
      <c r="U138" s="319"/>
      <c r="V138" s="319"/>
      <c r="W138" s="319"/>
      <c r="X138" s="319"/>
      <c r="Y138" s="319"/>
      <c r="Z138" s="316" t="str">
        <f>IF(Y138="Yes","Please ensure the UI has been upgraded","")</f>
        <v/>
      </c>
    </row>
    <row r="139" spans="1:26" s="308" customFormat="1" ht="15.75" customHeight="1">
      <c r="A139"/>
      <c r="B139" s="322"/>
      <c r="C139" s="315" t="s">
        <v>309</v>
      </c>
      <c r="D139" s="315">
        <f>B139</f>
        <v>0</v>
      </c>
      <c r="E139" s="322" t="s">
        <v>309</v>
      </c>
      <c r="F139" s="315" t="str">
        <f>IF(B139="","",B139)</f>
        <v/>
      </c>
      <c r="G139" s="323"/>
      <c r="H139" s="322"/>
      <c r="I139" s="315"/>
      <c r="J139" s="315"/>
      <c r="K139" s="322"/>
      <c r="L139" s="315"/>
      <c r="M139" s="313"/>
      <c r="N139" s="319" t="s">
        <v>16</v>
      </c>
      <c r="O139" s="319" t="s">
        <v>16</v>
      </c>
      <c r="P139" s="321"/>
      <c r="Q139" s="320"/>
      <c r="R139" s="313"/>
      <c r="S139" s="319"/>
      <c r="T139" s="319"/>
      <c r="U139" s="319"/>
      <c r="V139" s="319"/>
      <c r="W139" s="319"/>
      <c r="X139" s="319"/>
      <c r="Y139" s="319"/>
      <c r="Z139" s="316" t="str">
        <f>IF(Y139="Yes","Please ensure the UI has been upgraded","")</f>
        <v/>
      </c>
    </row>
    <row r="140" spans="1:26" s="308" customFormat="1" ht="15.75" customHeight="1">
      <c r="A140"/>
      <c r="B140" s="322"/>
      <c r="C140" s="315" t="s">
        <v>309</v>
      </c>
      <c r="D140" s="315">
        <f>B140</f>
        <v>0</v>
      </c>
      <c r="E140" s="322" t="s">
        <v>309</v>
      </c>
      <c r="F140" s="315" t="str">
        <f>IF(B140="","",B140)</f>
        <v/>
      </c>
      <c r="G140" s="323"/>
      <c r="H140" s="322"/>
      <c r="I140" s="315"/>
      <c r="J140" s="315"/>
      <c r="K140" s="322"/>
      <c r="L140" s="315"/>
      <c r="M140" s="313"/>
      <c r="N140" s="319" t="s">
        <v>16</v>
      </c>
      <c r="O140" s="319" t="s">
        <v>16</v>
      </c>
      <c r="P140" s="321"/>
      <c r="Q140" s="320"/>
      <c r="R140" s="313"/>
      <c r="S140" s="319"/>
      <c r="T140" s="319"/>
      <c r="U140" s="319"/>
      <c r="V140" s="319"/>
      <c r="W140" s="319"/>
      <c r="X140" s="319"/>
      <c r="Y140" s="319"/>
      <c r="Z140" s="316" t="str">
        <f>IF(Y140="Yes","Please ensure the UI has been upgraded","")</f>
        <v/>
      </c>
    </row>
    <row r="141" spans="1:26" s="308" customFormat="1" ht="15.75" customHeight="1">
      <c r="A141"/>
      <c r="B141" s="322"/>
      <c r="C141" s="315" t="s">
        <v>309</v>
      </c>
      <c r="D141" s="315">
        <f>B141</f>
        <v>0</v>
      </c>
      <c r="E141" s="322" t="s">
        <v>309</v>
      </c>
      <c r="F141" s="315" t="str">
        <f>IF(B141="","",B141)</f>
        <v/>
      </c>
      <c r="G141" s="323"/>
      <c r="H141" s="322"/>
      <c r="I141" s="315"/>
      <c r="J141" s="315"/>
      <c r="K141" s="322"/>
      <c r="L141" s="315"/>
      <c r="M141" s="313"/>
      <c r="N141" s="319" t="s">
        <v>16</v>
      </c>
      <c r="O141" s="319" t="s">
        <v>16</v>
      </c>
      <c r="P141" s="321"/>
      <c r="Q141" s="320"/>
      <c r="R141" s="313"/>
      <c r="S141" s="319"/>
      <c r="T141" s="319"/>
      <c r="U141" s="319"/>
      <c r="V141" s="319"/>
      <c r="W141" s="319"/>
      <c r="X141" s="319"/>
      <c r="Y141" s="319"/>
      <c r="Z141" s="316" t="str">
        <f>IF(Y141="Yes","Please ensure the UI has been upgraded","")</f>
        <v/>
      </c>
    </row>
    <row r="142" spans="1:26" s="308" customFormat="1" ht="15.75" customHeight="1">
      <c r="A142"/>
      <c r="B142" s="322"/>
      <c r="C142" s="315" t="s">
        <v>309</v>
      </c>
      <c r="D142" s="315">
        <f>B142</f>
        <v>0</v>
      </c>
      <c r="E142" s="322" t="s">
        <v>309</v>
      </c>
      <c r="F142" s="315" t="str">
        <f>IF(B142="","",B142)</f>
        <v/>
      </c>
      <c r="G142" s="323"/>
      <c r="H142" s="322"/>
      <c r="I142" s="315"/>
      <c r="J142" s="315"/>
      <c r="K142" s="322"/>
      <c r="L142" s="315"/>
      <c r="M142" s="313"/>
      <c r="N142" s="319" t="s">
        <v>16</v>
      </c>
      <c r="O142" s="319" t="s">
        <v>16</v>
      </c>
      <c r="P142" s="321"/>
      <c r="Q142" s="320"/>
      <c r="R142" s="313"/>
      <c r="S142" s="319"/>
      <c r="T142" s="319"/>
      <c r="U142" s="319"/>
      <c r="V142" s="319"/>
      <c r="W142" s="319"/>
      <c r="X142" s="319"/>
      <c r="Y142" s="319"/>
      <c r="Z142" s="316" t="str">
        <f>IF(Y142="Yes","Please ensure the UI has been upgraded","")</f>
        <v/>
      </c>
    </row>
    <row r="143" spans="1:26" s="308" customFormat="1" ht="15.75" customHeight="1">
      <c r="A143"/>
      <c r="B143" s="322"/>
      <c r="C143" s="315" t="s">
        <v>309</v>
      </c>
      <c r="D143" s="315">
        <f>B143</f>
        <v>0</v>
      </c>
      <c r="E143" s="322" t="s">
        <v>309</v>
      </c>
      <c r="F143" s="315" t="str">
        <f>IF(B143="","",B143)</f>
        <v/>
      </c>
      <c r="G143" s="323"/>
      <c r="H143" s="322"/>
      <c r="I143" s="315"/>
      <c r="J143" s="315"/>
      <c r="K143" s="322"/>
      <c r="L143" s="315"/>
      <c r="M143" s="313"/>
      <c r="N143" s="319" t="s">
        <v>16</v>
      </c>
      <c r="O143" s="319" t="s">
        <v>16</v>
      </c>
      <c r="P143" s="321"/>
      <c r="Q143" s="320"/>
      <c r="R143" s="313"/>
      <c r="S143" s="319"/>
      <c r="T143" s="319"/>
      <c r="U143" s="319"/>
      <c r="V143" s="319"/>
      <c r="W143" s="319"/>
      <c r="X143" s="319"/>
      <c r="Y143" s="319"/>
      <c r="Z143" s="316" t="str">
        <f>IF(Y143="Yes","Please ensure the UI has been upgraded","")</f>
        <v/>
      </c>
    </row>
    <row r="144" spans="1:26" s="308" customFormat="1" ht="15.75" customHeight="1">
      <c r="A144"/>
      <c r="B144" s="322"/>
      <c r="C144" s="315" t="s">
        <v>309</v>
      </c>
      <c r="D144" s="315">
        <f>B144</f>
        <v>0</v>
      </c>
      <c r="E144" s="322" t="s">
        <v>309</v>
      </c>
      <c r="F144" s="315" t="str">
        <f>IF(B144="","",B144)</f>
        <v/>
      </c>
      <c r="G144" s="323"/>
      <c r="H144" s="322"/>
      <c r="I144" s="315"/>
      <c r="J144" s="315"/>
      <c r="K144" s="322"/>
      <c r="L144" s="315"/>
      <c r="M144" s="313"/>
      <c r="N144" s="319" t="s">
        <v>16</v>
      </c>
      <c r="O144" s="319" t="s">
        <v>16</v>
      </c>
      <c r="P144" s="321"/>
      <c r="Q144" s="320"/>
      <c r="R144" s="313"/>
      <c r="S144" s="319"/>
      <c r="T144" s="319"/>
      <c r="U144" s="319"/>
      <c r="V144" s="319"/>
      <c r="W144" s="319"/>
      <c r="X144" s="319"/>
      <c r="Y144" s="319"/>
      <c r="Z144" s="316" t="str">
        <f>IF(Y144="Yes","Please ensure the UI has been upgraded","")</f>
        <v/>
      </c>
    </row>
    <row r="145" spans="1:26" s="308" customFormat="1" ht="15.75" customHeight="1">
      <c r="A145"/>
      <c r="B145" s="322"/>
      <c r="C145" s="315" t="s">
        <v>309</v>
      </c>
      <c r="D145" s="315">
        <f>B145</f>
        <v>0</v>
      </c>
      <c r="E145" s="322" t="s">
        <v>309</v>
      </c>
      <c r="F145" s="315" t="str">
        <f>IF(B145="","",B145)</f>
        <v/>
      </c>
      <c r="G145" s="323"/>
      <c r="H145" s="322"/>
      <c r="I145" s="315"/>
      <c r="J145" s="315"/>
      <c r="K145" s="322"/>
      <c r="L145" s="315"/>
      <c r="M145" s="313"/>
      <c r="N145" s="319" t="s">
        <v>16</v>
      </c>
      <c r="O145" s="319" t="s">
        <v>16</v>
      </c>
      <c r="P145" s="321"/>
      <c r="Q145" s="320"/>
      <c r="R145" s="313"/>
      <c r="S145" s="319"/>
      <c r="T145" s="319"/>
      <c r="U145" s="319"/>
      <c r="V145" s="319"/>
      <c r="W145" s="319"/>
      <c r="X145" s="319"/>
      <c r="Y145" s="319"/>
      <c r="Z145" s="316" t="str">
        <f>IF(Y145="Yes","Please ensure the UI has been upgraded","")</f>
        <v/>
      </c>
    </row>
    <row r="146" spans="1:26" s="308" customFormat="1" ht="15.75" customHeight="1">
      <c r="A146"/>
      <c r="B146" s="322"/>
      <c r="C146" s="315" t="s">
        <v>309</v>
      </c>
      <c r="D146" s="315">
        <f>B146</f>
        <v>0</v>
      </c>
      <c r="E146" s="322" t="s">
        <v>309</v>
      </c>
      <c r="F146" s="315" t="str">
        <f>IF(B146="","",B146)</f>
        <v/>
      </c>
      <c r="G146" s="323"/>
      <c r="H146" s="322"/>
      <c r="I146" s="315"/>
      <c r="J146" s="315"/>
      <c r="K146" s="322"/>
      <c r="L146" s="315"/>
      <c r="M146" s="313"/>
      <c r="N146" s="319" t="s">
        <v>16</v>
      </c>
      <c r="O146" s="319" t="s">
        <v>16</v>
      </c>
      <c r="P146" s="321"/>
      <c r="Q146" s="320"/>
      <c r="R146" s="313"/>
      <c r="S146" s="319"/>
      <c r="T146" s="319"/>
      <c r="U146" s="319"/>
      <c r="V146" s="319"/>
      <c r="W146" s="319"/>
      <c r="X146" s="319"/>
      <c r="Y146" s="319"/>
      <c r="Z146" s="316" t="str">
        <f>IF(Y146="Yes","Please ensure the UI has been upgraded","")</f>
        <v/>
      </c>
    </row>
    <row r="147" spans="1:26" s="308" customFormat="1" ht="15.75" customHeight="1">
      <c r="A147"/>
      <c r="B147" s="322"/>
      <c r="C147" s="315" t="s">
        <v>309</v>
      </c>
      <c r="D147" s="315">
        <f>B147</f>
        <v>0</v>
      </c>
      <c r="E147" s="322" t="s">
        <v>309</v>
      </c>
      <c r="F147" s="315" t="str">
        <f>IF(B147="","",B147)</f>
        <v/>
      </c>
      <c r="G147" s="323"/>
      <c r="H147" s="322"/>
      <c r="I147" s="315"/>
      <c r="J147" s="315"/>
      <c r="K147" s="322"/>
      <c r="L147" s="315"/>
      <c r="M147" s="313"/>
      <c r="N147" s="319" t="s">
        <v>16</v>
      </c>
      <c r="O147" s="319" t="s">
        <v>16</v>
      </c>
      <c r="P147" s="321"/>
      <c r="Q147" s="320"/>
      <c r="R147" s="313"/>
      <c r="S147" s="319"/>
      <c r="T147" s="319"/>
      <c r="U147" s="319"/>
      <c r="V147" s="319"/>
      <c r="W147" s="319"/>
      <c r="X147" s="319"/>
      <c r="Y147" s="319"/>
      <c r="Z147" s="316" t="str">
        <f>IF(Y147="Yes","Please ensure the UI has been upgraded","")</f>
        <v/>
      </c>
    </row>
    <row r="148" spans="1:26" s="308" customFormat="1" ht="15.75" customHeight="1">
      <c r="A148"/>
      <c r="B148" s="322"/>
      <c r="C148" s="315" t="s">
        <v>309</v>
      </c>
      <c r="D148" s="315">
        <f>B148</f>
        <v>0</v>
      </c>
      <c r="E148" s="322" t="s">
        <v>309</v>
      </c>
      <c r="F148" s="315" t="str">
        <f>IF(B148="","",B148)</f>
        <v/>
      </c>
      <c r="G148" s="323"/>
      <c r="H148" s="322"/>
      <c r="I148" s="315"/>
      <c r="J148" s="315"/>
      <c r="K148" s="322"/>
      <c r="L148" s="315"/>
      <c r="M148" s="313"/>
      <c r="N148" s="319" t="s">
        <v>16</v>
      </c>
      <c r="O148" s="319" t="s">
        <v>16</v>
      </c>
      <c r="P148" s="321"/>
      <c r="Q148" s="320"/>
      <c r="R148" s="313"/>
      <c r="S148" s="319"/>
      <c r="T148" s="319"/>
      <c r="U148" s="319"/>
      <c r="V148" s="319"/>
      <c r="W148" s="319"/>
      <c r="X148" s="319"/>
      <c r="Y148" s="319"/>
      <c r="Z148" s="316"/>
    </row>
    <row r="149" spans="1:26" s="308" customFormat="1" ht="15.75" customHeight="1">
      <c r="A149"/>
      <c r="B149" s="322"/>
      <c r="C149" s="315" t="s">
        <v>309</v>
      </c>
      <c r="D149" s="315">
        <f>B149</f>
        <v>0</v>
      </c>
      <c r="E149" s="322" t="s">
        <v>309</v>
      </c>
      <c r="F149" s="315" t="str">
        <f>IF(B149="","",B149)</f>
        <v/>
      </c>
      <c r="G149" s="323"/>
      <c r="H149" s="322"/>
      <c r="I149" s="315"/>
      <c r="J149" s="315"/>
      <c r="K149" s="322"/>
      <c r="L149" s="315"/>
      <c r="M149" s="313"/>
      <c r="N149" s="319" t="s">
        <v>16</v>
      </c>
      <c r="O149" s="319" t="s">
        <v>16</v>
      </c>
      <c r="P149" s="321"/>
      <c r="Q149" s="320"/>
      <c r="R149" s="313"/>
      <c r="S149" s="319"/>
      <c r="T149" s="319"/>
      <c r="U149" s="319"/>
      <c r="V149" s="319"/>
      <c r="W149" s="319"/>
      <c r="X149" s="319"/>
      <c r="Y149" s="319"/>
      <c r="Z149" s="316"/>
    </row>
    <row r="150" spans="1:26" s="308" customFormat="1" ht="15.75" customHeight="1">
      <c r="A150"/>
      <c r="B150" s="322"/>
      <c r="C150" s="315" t="s">
        <v>309</v>
      </c>
      <c r="D150" s="315">
        <f>B150</f>
        <v>0</v>
      </c>
      <c r="E150" s="322" t="s">
        <v>309</v>
      </c>
      <c r="F150" s="315" t="str">
        <f>IF(B150="","",B150)</f>
        <v/>
      </c>
      <c r="G150" s="323"/>
      <c r="H150" s="322"/>
      <c r="I150" s="315"/>
      <c r="J150" s="315"/>
      <c r="K150" s="322"/>
      <c r="L150" s="315"/>
      <c r="M150" s="313"/>
      <c r="N150" s="319" t="s">
        <v>16</v>
      </c>
      <c r="O150" s="319" t="s">
        <v>16</v>
      </c>
      <c r="P150" s="321"/>
      <c r="Q150" s="320"/>
      <c r="R150" s="313"/>
      <c r="S150" s="319"/>
      <c r="T150" s="319"/>
      <c r="U150" s="319"/>
      <c r="V150" s="319"/>
      <c r="W150" s="319"/>
      <c r="X150" s="319"/>
      <c r="Y150" s="319"/>
      <c r="Z150" s="316" t="str">
        <f>IF(Y150="Yes","Please ensure the UI has been upgraded","")</f>
        <v/>
      </c>
    </row>
    <row r="151" spans="1:26" s="308" customFormat="1" ht="15.75" customHeight="1">
      <c r="A151"/>
      <c r="B151" s="322"/>
      <c r="C151" s="315" t="s">
        <v>309</v>
      </c>
      <c r="D151" s="315">
        <f>B151</f>
        <v>0</v>
      </c>
      <c r="E151" s="322" t="s">
        <v>309</v>
      </c>
      <c r="F151" s="315" t="str">
        <f>IF(B151="","",B151)</f>
        <v/>
      </c>
      <c r="G151" s="323"/>
      <c r="H151" s="322"/>
      <c r="I151" s="315"/>
      <c r="J151" s="315"/>
      <c r="K151" s="322"/>
      <c r="L151" s="315"/>
      <c r="M151" s="313"/>
      <c r="N151" s="319" t="s">
        <v>16</v>
      </c>
      <c r="O151" s="319" t="s">
        <v>16</v>
      </c>
      <c r="P151" s="321"/>
      <c r="Q151" s="320"/>
      <c r="R151" s="313"/>
      <c r="S151" s="319"/>
      <c r="T151" s="319"/>
      <c r="U151" s="319"/>
      <c r="V151" s="319"/>
      <c r="W151" s="319"/>
      <c r="X151" s="319"/>
      <c r="Y151" s="319"/>
      <c r="Z151" s="316" t="str">
        <f>IF(Y151="Yes","Please ensure the UI has been upgraded","")</f>
        <v/>
      </c>
    </row>
    <row r="152" spans="1:26" s="308" customFormat="1" ht="15.75" customHeight="1">
      <c r="A152"/>
      <c r="B152" s="322"/>
      <c r="C152" s="315" t="s">
        <v>309</v>
      </c>
      <c r="D152" s="315">
        <f>B152</f>
        <v>0</v>
      </c>
      <c r="E152" s="322" t="s">
        <v>309</v>
      </c>
      <c r="F152" s="315" t="str">
        <f>IF(B152="","",B152)</f>
        <v/>
      </c>
      <c r="G152" s="323"/>
      <c r="H152" s="322"/>
      <c r="I152" s="315"/>
      <c r="J152" s="315"/>
      <c r="K152" s="322"/>
      <c r="L152" s="315"/>
      <c r="M152" s="313"/>
      <c r="N152" s="319" t="s">
        <v>16</v>
      </c>
      <c r="O152" s="319" t="s">
        <v>16</v>
      </c>
      <c r="P152" s="321"/>
      <c r="Q152" s="320"/>
      <c r="R152" s="313"/>
      <c r="S152" s="319"/>
      <c r="T152" s="319"/>
      <c r="U152" s="319"/>
      <c r="V152" s="319"/>
      <c r="W152" s="319"/>
      <c r="X152" s="319"/>
      <c r="Y152" s="319"/>
      <c r="Z152" s="316" t="str">
        <f>IF(Y152="Yes","Please ensure the UI has been upgraded","")</f>
        <v/>
      </c>
    </row>
    <row r="153" spans="1:26" s="308" customFormat="1" ht="15.75" customHeight="1">
      <c r="A153"/>
      <c r="B153" s="322"/>
      <c r="C153" s="315" t="s">
        <v>309</v>
      </c>
      <c r="D153" s="315">
        <f>B153</f>
        <v>0</v>
      </c>
      <c r="E153" s="322" t="s">
        <v>309</v>
      </c>
      <c r="F153" s="315" t="str">
        <f>IF(B153="","",B153)</f>
        <v/>
      </c>
      <c r="G153" s="323"/>
      <c r="H153" s="322"/>
      <c r="I153" s="315"/>
      <c r="J153" s="315"/>
      <c r="K153" s="322"/>
      <c r="L153" s="315"/>
      <c r="M153" s="313"/>
      <c r="N153" s="319" t="s">
        <v>16</v>
      </c>
      <c r="O153" s="319" t="s">
        <v>16</v>
      </c>
      <c r="P153" s="321"/>
      <c r="Q153" s="320"/>
      <c r="R153" s="313"/>
      <c r="S153" s="319"/>
      <c r="T153" s="319"/>
      <c r="U153" s="319"/>
      <c r="V153" s="319"/>
      <c r="W153" s="319"/>
      <c r="X153" s="319"/>
      <c r="Y153" s="319"/>
      <c r="Z153" s="316" t="str">
        <f>IF(Y153="Yes","Please ensure the UI has been upgraded","")</f>
        <v/>
      </c>
    </row>
    <row r="154" spans="1:26" s="308" customFormat="1" ht="15.75" customHeight="1">
      <c r="A154"/>
      <c r="B154" s="322"/>
      <c r="C154" s="315" t="s">
        <v>309</v>
      </c>
      <c r="D154" s="315">
        <f>B154</f>
        <v>0</v>
      </c>
      <c r="E154" s="322" t="s">
        <v>309</v>
      </c>
      <c r="F154" s="315" t="str">
        <f>IF(B154="","",B154)</f>
        <v/>
      </c>
      <c r="G154" s="323"/>
      <c r="H154" s="322"/>
      <c r="I154" s="315"/>
      <c r="J154" s="315"/>
      <c r="K154" s="322"/>
      <c r="L154" s="315"/>
      <c r="M154" s="313"/>
      <c r="N154" s="319" t="s">
        <v>16</v>
      </c>
      <c r="O154" s="319" t="s">
        <v>16</v>
      </c>
      <c r="P154" s="321"/>
      <c r="Q154" s="320"/>
      <c r="R154" s="313"/>
      <c r="S154" s="319"/>
      <c r="T154" s="319"/>
      <c r="U154" s="319"/>
      <c r="V154" s="319"/>
      <c r="W154" s="319"/>
      <c r="X154" s="319"/>
      <c r="Y154" s="319"/>
      <c r="Z154" s="316" t="str">
        <f>IF(Y154="Yes","Please ensure the UI has been upgraded","")</f>
        <v/>
      </c>
    </row>
    <row r="155" spans="1:26" s="308" customFormat="1" ht="15.75" customHeight="1">
      <c r="A155"/>
      <c r="B155" s="322"/>
      <c r="C155" s="315" t="s">
        <v>309</v>
      </c>
      <c r="D155" s="315">
        <f>B155</f>
        <v>0</v>
      </c>
      <c r="E155" s="322" t="s">
        <v>309</v>
      </c>
      <c r="F155" s="315" t="str">
        <f>IF(B155="","",B155)</f>
        <v/>
      </c>
      <c r="G155" s="323"/>
      <c r="H155" s="322"/>
      <c r="I155" s="315"/>
      <c r="J155" s="315"/>
      <c r="K155" s="322"/>
      <c r="L155" s="315"/>
      <c r="M155" s="313"/>
      <c r="N155" s="319" t="s">
        <v>16</v>
      </c>
      <c r="O155" s="319" t="s">
        <v>16</v>
      </c>
      <c r="P155" s="321"/>
      <c r="Q155" s="320"/>
      <c r="R155" s="313"/>
      <c r="S155" s="319"/>
      <c r="T155" s="319"/>
      <c r="U155" s="319"/>
      <c r="V155" s="319"/>
      <c r="W155" s="319"/>
      <c r="X155" s="319"/>
      <c r="Y155" s="319"/>
      <c r="Z155" s="316" t="str">
        <f>IF(Y155="Yes","Please ensure the UI has been upgraded","")</f>
        <v/>
      </c>
    </row>
    <row r="156" spans="1:26" s="308" customFormat="1" ht="15.75" customHeight="1">
      <c r="A156"/>
      <c r="B156" s="322"/>
      <c r="C156" s="315" t="s">
        <v>309</v>
      </c>
      <c r="D156" s="315">
        <f>B156</f>
        <v>0</v>
      </c>
      <c r="E156" s="322" t="s">
        <v>309</v>
      </c>
      <c r="F156" s="315" t="str">
        <f>IF(B156="","",B156)</f>
        <v/>
      </c>
      <c r="G156" s="323"/>
      <c r="H156" s="322"/>
      <c r="I156" s="315"/>
      <c r="J156" s="315"/>
      <c r="K156" s="322"/>
      <c r="L156" s="315"/>
      <c r="M156" s="313"/>
      <c r="N156" s="319" t="s">
        <v>16</v>
      </c>
      <c r="O156" s="319" t="s">
        <v>16</v>
      </c>
      <c r="P156" s="321"/>
      <c r="Q156" s="320"/>
      <c r="R156" s="313"/>
      <c r="S156" s="319"/>
      <c r="T156" s="319"/>
      <c r="U156" s="319"/>
      <c r="V156" s="319"/>
      <c r="W156" s="319"/>
      <c r="X156" s="319"/>
      <c r="Y156" s="319"/>
      <c r="Z156" s="316" t="str">
        <f>IF(Y156="Yes","Please ensure the UI has been upgraded","")</f>
        <v/>
      </c>
    </row>
    <row r="157" spans="1:26" s="308" customFormat="1" ht="15.75" customHeight="1">
      <c r="A157"/>
      <c r="B157" s="322"/>
      <c r="C157" s="315" t="s">
        <v>309</v>
      </c>
      <c r="D157" s="315">
        <f>B157</f>
        <v>0</v>
      </c>
      <c r="E157" s="322" t="s">
        <v>309</v>
      </c>
      <c r="F157" s="315" t="str">
        <f>IF(B157="","",B157)</f>
        <v/>
      </c>
      <c r="G157" s="323"/>
      <c r="H157" s="322"/>
      <c r="I157" s="315"/>
      <c r="J157" s="315"/>
      <c r="K157" s="322"/>
      <c r="L157" s="315"/>
      <c r="M157" s="313"/>
      <c r="N157" s="319" t="s">
        <v>16</v>
      </c>
      <c r="O157" s="319" t="s">
        <v>16</v>
      </c>
      <c r="P157" s="321"/>
      <c r="Q157" s="320"/>
      <c r="R157" s="313"/>
      <c r="S157" s="319"/>
      <c r="T157" s="319"/>
      <c r="U157" s="319"/>
      <c r="V157" s="319"/>
      <c r="W157" s="319"/>
      <c r="X157" s="319"/>
      <c r="Y157" s="319"/>
      <c r="Z157" s="316" t="str">
        <f>IF(Y157="Yes","Please ensure the UI has been upgraded","")</f>
        <v/>
      </c>
    </row>
    <row r="158" spans="1:26" s="308" customFormat="1" ht="15.75" customHeight="1">
      <c r="A158"/>
      <c r="B158" s="322"/>
      <c r="C158" s="315" t="s">
        <v>309</v>
      </c>
      <c r="D158" s="315">
        <f>B158</f>
        <v>0</v>
      </c>
      <c r="E158" s="322" t="s">
        <v>309</v>
      </c>
      <c r="F158" s="315" t="str">
        <f>IF(B158="","",B158)</f>
        <v/>
      </c>
      <c r="G158" s="323"/>
      <c r="H158" s="322"/>
      <c r="I158" s="315"/>
      <c r="J158" s="315"/>
      <c r="K158" s="322"/>
      <c r="L158" s="315"/>
      <c r="M158" s="313"/>
      <c r="N158" s="319" t="s">
        <v>16</v>
      </c>
      <c r="O158" s="319" t="s">
        <v>16</v>
      </c>
      <c r="P158" s="321"/>
      <c r="Q158" s="320"/>
      <c r="R158" s="313"/>
      <c r="S158" s="319"/>
      <c r="T158" s="319"/>
      <c r="U158" s="319"/>
      <c r="V158" s="319"/>
      <c r="W158" s="319"/>
      <c r="X158" s="319"/>
      <c r="Y158" s="319"/>
      <c r="Z158" s="316" t="str">
        <f>IF(Y158="Yes","Please ensure the UI has been upgraded","")</f>
        <v/>
      </c>
    </row>
    <row r="159" spans="1:26" s="308" customFormat="1" ht="15.75" customHeight="1">
      <c r="A159"/>
      <c r="B159" s="322"/>
      <c r="C159" s="315" t="s">
        <v>309</v>
      </c>
      <c r="D159" s="315">
        <f>B159</f>
        <v>0</v>
      </c>
      <c r="E159" s="322" t="s">
        <v>309</v>
      </c>
      <c r="F159" s="315" t="str">
        <f>IF(B159="","",B159)</f>
        <v/>
      </c>
      <c r="G159" s="323"/>
      <c r="H159" s="322"/>
      <c r="I159" s="315"/>
      <c r="J159" s="315"/>
      <c r="K159" s="322"/>
      <c r="L159" s="315"/>
      <c r="M159" s="313"/>
      <c r="N159" s="319" t="s">
        <v>16</v>
      </c>
      <c r="O159" s="319" t="s">
        <v>16</v>
      </c>
      <c r="P159" s="321"/>
      <c r="Q159" s="320"/>
      <c r="R159" s="313"/>
      <c r="S159" s="319"/>
      <c r="T159" s="319"/>
      <c r="U159" s="319"/>
      <c r="V159" s="319"/>
      <c r="W159" s="319"/>
      <c r="X159" s="319"/>
      <c r="Y159" s="319"/>
      <c r="Z159" s="316" t="str">
        <f>IF(Y159="Yes","Please ensure the UI has been upgraded","")</f>
        <v/>
      </c>
    </row>
    <row r="160" spans="1:26" s="308" customFormat="1" ht="15.75" customHeight="1">
      <c r="A160"/>
      <c r="B160" s="322"/>
      <c r="C160" s="315" t="s">
        <v>309</v>
      </c>
      <c r="D160" s="315">
        <f>B160</f>
        <v>0</v>
      </c>
      <c r="E160" s="322" t="s">
        <v>309</v>
      </c>
      <c r="F160" s="315" t="str">
        <f>IF(B160="","",B160)</f>
        <v/>
      </c>
      <c r="G160" s="323"/>
      <c r="H160" s="322"/>
      <c r="I160" s="315"/>
      <c r="J160" s="315"/>
      <c r="K160" s="322"/>
      <c r="L160" s="315"/>
      <c r="M160" s="313"/>
      <c r="N160" s="319" t="s">
        <v>16</v>
      </c>
      <c r="O160" s="319" t="s">
        <v>16</v>
      </c>
      <c r="P160" s="321"/>
      <c r="Q160" s="320"/>
      <c r="R160" s="313"/>
      <c r="S160" s="319"/>
      <c r="T160" s="319"/>
      <c r="U160" s="319"/>
      <c r="V160" s="319"/>
      <c r="W160" s="319"/>
      <c r="X160" s="319"/>
      <c r="Y160" s="319"/>
      <c r="Z160" s="316" t="str">
        <f>IF(Y160="Yes","Please ensure the UI has been upgraded","")</f>
        <v/>
      </c>
    </row>
    <row r="161" spans="1:26" s="308" customFormat="1" ht="15.75" customHeight="1">
      <c r="A161"/>
      <c r="B161" s="322"/>
      <c r="C161" s="315" t="s">
        <v>309</v>
      </c>
      <c r="D161" s="315">
        <f>B161</f>
        <v>0</v>
      </c>
      <c r="E161" s="322" t="s">
        <v>309</v>
      </c>
      <c r="F161" s="315" t="str">
        <f>IF(B161="","",B161)</f>
        <v/>
      </c>
      <c r="G161" s="323"/>
      <c r="H161" s="322"/>
      <c r="I161" s="315"/>
      <c r="J161" s="315"/>
      <c r="K161" s="322"/>
      <c r="L161" s="315"/>
      <c r="M161" s="313"/>
      <c r="N161" s="319" t="s">
        <v>16</v>
      </c>
      <c r="O161" s="319" t="s">
        <v>16</v>
      </c>
      <c r="P161" s="321"/>
      <c r="Q161" s="320"/>
      <c r="R161" s="313"/>
      <c r="S161" s="319"/>
      <c r="T161" s="319"/>
      <c r="U161" s="319"/>
      <c r="V161" s="319"/>
      <c r="W161" s="319"/>
      <c r="X161" s="319"/>
      <c r="Y161" s="319"/>
      <c r="Z161" s="316" t="str">
        <f>IF(Y161="Yes","Please ensure the UI has been upgraded","")</f>
        <v/>
      </c>
    </row>
    <row r="162" spans="1:26" s="308" customFormat="1" ht="15.75" customHeight="1">
      <c r="A162"/>
      <c r="B162" s="322"/>
      <c r="C162" s="315" t="s">
        <v>309</v>
      </c>
      <c r="D162" s="315">
        <f>B162</f>
        <v>0</v>
      </c>
      <c r="E162" s="322" t="s">
        <v>309</v>
      </c>
      <c r="F162" s="315" t="str">
        <f>IF(B162="","",B162)</f>
        <v/>
      </c>
      <c r="G162" s="323"/>
      <c r="H162" s="322"/>
      <c r="I162" s="315"/>
      <c r="J162" s="315"/>
      <c r="K162" s="322"/>
      <c r="L162" s="315"/>
      <c r="M162" s="313"/>
      <c r="N162" s="319" t="s">
        <v>16</v>
      </c>
      <c r="O162" s="319" t="s">
        <v>16</v>
      </c>
      <c r="P162" s="321"/>
      <c r="Q162" s="320"/>
      <c r="R162" s="313"/>
      <c r="S162" s="319"/>
      <c r="T162" s="319"/>
      <c r="U162" s="319"/>
      <c r="V162" s="319"/>
      <c r="W162" s="319"/>
      <c r="X162" s="319"/>
      <c r="Y162" s="319"/>
      <c r="Z162" s="316" t="str">
        <f>IF(Y162="Yes","Please ensure the UI has been upgraded","")</f>
        <v/>
      </c>
    </row>
    <row r="163" spans="1:26" s="308" customFormat="1" ht="15.75" customHeight="1">
      <c r="A163"/>
      <c r="B163" s="322"/>
      <c r="C163" s="315" t="s">
        <v>309</v>
      </c>
      <c r="D163" s="315">
        <f>B163</f>
        <v>0</v>
      </c>
      <c r="E163" s="322" t="s">
        <v>309</v>
      </c>
      <c r="F163" s="315" t="str">
        <f>IF(B163="","",B163)</f>
        <v/>
      </c>
      <c r="G163" s="323"/>
      <c r="H163" s="322"/>
      <c r="I163" s="315"/>
      <c r="J163" s="315"/>
      <c r="K163" s="322"/>
      <c r="L163" s="315"/>
      <c r="M163" s="313"/>
      <c r="N163" s="319" t="s">
        <v>16</v>
      </c>
      <c r="O163" s="319" t="s">
        <v>16</v>
      </c>
      <c r="P163" s="321"/>
      <c r="Q163" s="320"/>
      <c r="R163" s="313"/>
      <c r="S163" s="319"/>
      <c r="T163" s="319"/>
      <c r="U163" s="319"/>
      <c r="V163" s="319"/>
      <c r="W163" s="319"/>
      <c r="X163" s="319"/>
      <c r="Y163" s="319"/>
      <c r="Z163" s="316"/>
    </row>
    <row r="164" spans="1:26" s="308" customFormat="1" ht="15.75" customHeight="1">
      <c r="A164"/>
      <c r="B164" s="322"/>
      <c r="C164" s="315" t="s">
        <v>309</v>
      </c>
      <c r="D164" s="315">
        <f>B164</f>
        <v>0</v>
      </c>
      <c r="E164" s="322" t="s">
        <v>309</v>
      </c>
      <c r="F164" s="315" t="str">
        <f>IF(B164="","",B164)</f>
        <v/>
      </c>
      <c r="G164" s="323"/>
      <c r="H164" s="322"/>
      <c r="I164" s="315"/>
      <c r="J164" s="315"/>
      <c r="K164" s="322"/>
      <c r="L164" s="315"/>
      <c r="M164" s="313"/>
      <c r="N164" s="319" t="s">
        <v>16</v>
      </c>
      <c r="O164" s="319" t="s">
        <v>16</v>
      </c>
      <c r="P164" s="321"/>
      <c r="Q164" s="320"/>
      <c r="R164" s="313"/>
      <c r="S164" s="319"/>
      <c r="T164" s="319"/>
      <c r="U164" s="319"/>
      <c r="V164" s="319"/>
      <c r="W164" s="319"/>
      <c r="X164" s="319"/>
      <c r="Y164" s="319"/>
      <c r="Z164" s="316"/>
    </row>
    <row r="165" spans="1:26" s="308" customFormat="1" ht="15.75" customHeight="1">
      <c r="A165"/>
      <c r="B165" s="322"/>
      <c r="C165" s="315" t="s">
        <v>309</v>
      </c>
      <c r="D165" s="315">
        <f>B165</f>
        <v>0</v>
      </c>
      <c r="E165" s="322" t="s">
        <v>309</v>
      </c>
      <c r="F165" s="315" t="str">
        <f>IF(B165="","",B165)</f>
        <v/>
      </c>
      <c r="G165" s="323"/>
      <c r="H165" s="322"/>
      <c r="I165" s="315"/>
      <c r="J165" s="315"/>
      <c r="K165" s="322"/>
      <c r="L165" s="315"/>
      <c r="M165" s="313"/>
      <c r="N165" s="319" t="s">
        <v>16</v>
      </c>
      <c r="O165" s="319" t="s">
        <v>16</v>
      </c>
      <c r="P165" s="321"/>
      <c r="Q165" s="320"/>
      <c r="R165" s="313"/>
      <c r="S165" s="319"/>
      <c r="T165" s="319"/>
      <c r="U165" s="319"/>
      <c r="V165" s="319"/>
      <c r="W165" s="319"/>
      <c r="X165" s="319"/>
      <c r="Y165" s="319"/>
      <c r="Z165" s="316"/>
    </row>
    <row r="166" spans="1:26" s="308" customFormat="1" ht="15.75" customHeight="1">
      <c r="A166"/>
      <c r="B166" s="322"/>
      <c r="C166" s="315" t="s">
        <v>309</v>
      </c>
      <c r="D166" s="315">
        <f>B166</f>
        <v>0</v>
      </c>
      <c r="E166" s="322" t="s">
        <v>309</v>
      </c>
      <c r="F166" s="315" t="str">
        <f>IF(B166="","",B166)</f>
        <v/>
      </c>
      <c r="G166" s="323"/>
      <c r="H166" s="322"/>
      <c r="I166" s="315"/>
      <c r="J166" s="315"/>
      <c r="K166" s="322"/>
      <c r="L166" s="315"/>
      <c r="M166" s="313"/>
      <c r="N166" s="319" t="s">
        <v>16</v>
      </c>
      <c r="O166" s="319" t="s">
        <v>16</v>
      </c>
      <c r="P166" s="321"/>
      <c r="Q166" s="320"/>
      <c r="R166" s="313"/>
      <c r="S166" s="319"/>
      <c r="T166" s="319"/>
      <c r="U166" s="319"/>
      <c r="V166" s="319"/>
      <c r="W166" s="319"/>
      <c r="X166" s="319"/>
      <c r="Y166" s="319"/>
      <c r="Z166" s="316"/>
    </row>
    <row r="167" spans="1:26" s="308" customFormat="1" ht="15.75" customHeight="1">
      <c r="A167"/>
      <c r="B167" s="322"/>
      <c r="C167" s="315" t="s">
        <v>309</v>
      </c>
      <c r="D167" s="315">
        <f>B167</f>
        <v>0</v>
      </c>
      <c r="E167" s="322" t="s">
        <v>309</v>
      </c>
      <c r="F167" s="315" t="str">
        <f>IF(B167="","",B167)</f>
        <v/>
      </c>
      <c r="G167" s="323"/>
      <c r="H167" s="322"/>
      <c r="I167" s="315"/>
      <c r="J167" s="315"/>
      <c r="K167" s="322"/>
      <c r="L167" s="315"/>
      <c r="M167" s="313"/>
      <c r="N167" s="319" t="s">
        <v>16</v>
      </c>
      <c r="O167" s="319" t="s">
        <v>16</v>
      </c>
      <c r="P167" s="321"/>
      <c r="Q167" s="320"/>
      <c r="R167" s="313"/>
      <c r="S167" s="319"/>
      <c r="T167" s="319"/>
      <c r="U167" s="319"/>
      <c r="V167" s="319"/>
      <c r="W167" s="319"/>
      <c r="X167" s="319"/>
      <c r="Y167" s="319"/>
      <c r="Z167" s="316"/>
    </row>
    <row r="168" spans="1:26" s="308" customFormat="1" ht="15.75" customHeight="1">
      <c r="A168"/>
      <c r="B168" s="322"/>
      <c r="C168" s="315" t="s">
        <v>309</v>
      </c>
      <c r="D168" s="315">
        <f>B168</f>
        <v>0</v>
      </c>
      <c r="E168" s="322" t="s">
        <v>309</v>
      </c>
      <c r="F168" s="315" t="str">
        <f>IF(B168="","",B168)</f>
        <v/>
      </c>
      <c r="G168" s="323"/>
      <c r="H168" s="322"/>
      <c r="I168" s="315"/>
      <c r="J168" s="315"/>
      <c r="K168" s="322"/>
      <c r="L168" s="315"/>
      <c r="M168" s="313"/>
      <c r="N168" s="319" t="s">
        <v>16</v>
      </c>
      <c r="O168" s="319" t="s">
        <v>16</v>
      </c>
      <c r="P168" s="321"/>
      <c r="Q168" s="320"/>
      <c r="R168" s="313"/>
      <c r="S168" s="319"/>
      <c r="T168" s="319"/>
      <c r="U168" s="319"/>
      <c r="V168" s="319"/>
      <c r="W168" s="319"/>
      <c r="X168" s="319"/>
      <c r="Y168" s="319"/>
      <c r="Z168" s="316" t="str">
        <f>IF(Y168="Yes","Please ensure the UI has been upgraded","")</f>
        <v/>
      </c>
    </row>
    <row r="169" spans="1:26" s="308" customFormat="1" ht="15.75" customHeight="1">
      <c r="A169"/>
      <c r="B169" s="322"/>
      <c r="C169" s="315" t="s">
        <v>309</v>
      </c>
      <c r="D169" s="315">
        <f>B169</f>
        <v>0</v>
      </c>
      <c r="E169" s="322" t="s">
        <v>309</v>
      </c>
      <c r="F169" s="315" t="str">
        <f>IF(B169="","",B169)</f>
        <v/>
      </c>
      <c r="G169" s="323"/>
      <c r="H169" s="322"/>
      <c r="I169" s="315"/>
      <c r="J169" s="315"/>
      <c r="K169" s="322"/>
      <c r="L169" s="315"/>
      <c r="M169" s="313"/>
      <c r="N169" s="319" t="s">
        <v>16</v>
      </c>
      <c r="O169" s="319" t="s">
        <v>16</v>
      </c>
      <c r="P169" s="321"/>
      <c r="Q169" s="320"/>
      <c r="R169" s="313"/>
      <c r="S169" s="319"/>
      <c r="T169" s="319"/>
      <c r="U169" s="319"/>
      <c r="V169" s="319"/>
      <c r="W169" s="319"/>
      <c r="X169" s="319"/>
      <c r="Y169" s="319"/>
      <c r="Z169" s="316" t="str">
        <f>IF(Y169="Yes","Please ensure the UI has been upgraded","")</f>
        <v/>
      </c>
    </row>
    <row r="170" spans="1:26" s="308" customFormat="1" ht="15.75" customHeight="1">
      <c r="A170"/>
      <c r="B170" s="322"/>
      <c r="C170" s="315" t="s">
        <v>309</v>
      </c>
      <c r="D170" s="315">
        <f>B170</f>
        <v>0</v>
      </c>
      <c r="E170" s="322" t="s">
        <v>309</v>
      </c>
      <c r="F170" s="315" t="str">
        <f>IF(B170="","",B170)</f>
        <v/>
      </c>
      <c r="G170" s="323"/>
      <c r="H170" s="322"/>
      <c r="I170" s="315"/>
      <c r="J170" s="315"/>
      <c r="K170" s="322"/>
      <c r="L170" s="315"/>
      <c r="M170" s="313"/>
      <c r="N170" s="319" t="s">
        <v>16</v>
      </c>
      <c r="O170" s="319" t="s">
        <v>16</v>
      </c>
      <c r="P170" s="321"/>
      <c r="Q170" s="320"/>
      <c r="R170" s="313"/>
      <c r="S170" s="319"/>
      <c r="T170" s="319"/>
      <c r="U170" s="319"/>
      <c r="V170" s="319"/>
      <c r="W170" s="319"/>
      <c r="X170" s="319"/>
      <c r="Y170" s="319"/>
      <c r="Z170" s="316" t="str">
        <f>IF(Y170="Yes","Please ensure the UI has been upgraded","")</f>
        <v/>
      </c>
    </row>
    <row r="171" spans="1:26" s="308" customFormat="1" ht="15.75" customHeight="1">
      <c r="A171"/>
      <c r="B171" s="322"/>
      <c r="C171" s="315" t="s">
        <v>309</v>
      </c>
      <c r="D171" s="315">
        <f>B171</f>
        <v>0</v>
      </c>
      <c r="E171" s="322" t="s">
        <v>309</v>
      </c>
      <c r="F171" s="315" t="str">
        <f>IF(B171="","",B171)</f>
        <v/>
      </c>
      <c r="G171" s="323"/>
      <c r="H171" s="322"/>
      <c r="I171" s="315"/>
      <c r="J171" s="315"/>
      <c r="K171" s="322"/>
      <c r="L171" s="315"/>
      <c r="M171" s="313"/>
      <c r="N171" s="319" t="s">
        <v>16</v>
      </c>
      <c r="O171" s="319" t="s">
        <v>16</v>
      </c>
      <c r="P171" s="321"/>
      <c r="Q171" s="320"/>
      <c r="R171" s="313"/>
      <c r="S171" s="319"/>
      <c r="T171" s="319"/>
      <c r="U171" s="319"/>
      <c r="V171" s="319"/>
      <c r="W171" s="319"/>
      <c r="X171" s="319"/>
      <c r="Y171" s="319"/>
      <c r="Z171" s="316" t="str">
        <f>IF(Y171="Yes","Please ensure the UI has been upgraded","")</f>
        <v/>
      </c>
    </row>
    <row r="172" spans="1:26" s="308" customFormat="1" ht="15.75" customHeight="1">
      <c r="A172"/>
      <c r="B172" s="322"/>
      <c r="C172" s="315" t="s">
        <v>309</v>
      </c>
      <c r="D172" s="315">
        <f>B172</f>
        <v>0</v>
      </c>
      <c r="E172" s="322" t="s">
        <v>309</v>
      </c>
      <c r="F172" s="315" t="str">
        <f>IF(B172="","",B172)</f>
        <v/>
      </c>
      <c r="G172" s="323"/>
      <c r="H172" s="322"/>
      <c r="I172" s="315"/>
      <c r="J172" s="315"/>
      <c r="K172" s="322"/>
      <c r="L172" s="315"/>
      <c r="M172" s="313"/>
      <c r="N172" s="319" t="s">
        <v>16</v>
      </c>
      <c r="O172" s="319" t="s">
        <v>16</v>
      </c>
      <c r="P172" s="321"/>
      <c r="Q172" s="320"/>
      <c r="R172" s="313"/>
      <c r="S172" s="319"/>
      <c r="T172" s="319"/>
      <c r="U172" s="319"/>
      <c r="V172" s="319"/>
      <c r="W172" s="319"/>
      <c r="X172" s="319"/>
      <c r="Y172" s="319"/>
      <c r="Z172" s="316" t="str">
        <f>IF(Y172="Yes","Please ensure the UI has been upgraded","")</f>
        <v/>
      </c>
    </row>
    <row r="173" spans="1:26" s="308" customFormat="1" ht="15.75" customHeight="1">
      <c r="A173"/>
      <c r="B173" s="322"/>
      <c r="C173" s="315" t="s">
        <v>309</v>
      </c>
      <c r="D173" s="315">
        <f>B173</f>
        <v>0</v>
      </c>
      <c r="E173" s="322" t="s">
        <v>309</v>
      </c>
      <c r="F173" s="315" t="str">
        <f>IF(B173="","",B173)</f>
        <v/>
      </c>
      <c r="G173" s="323"/>
      <c r="H173" s="322"/>
      <c r="I173" s="315"/>
      <c r="J173" s="315"/>
      <c r="K173" s="322"/>
      <c r="L173" s="315"/>
      <c r="M173" s="313"/>
      <c r="N173" s="319" t="s">
        <v>16</v>
      </c>
      <c r="O173" s="319" t="s">
        <v>16</v>
      </c>
      <c r="P173" s="321"/>
      <c r="Q173" s="320"/>
      <c r="R173" s="313"/>
      <c r="S173" s="319"/>
      <c r="T173" s="319"/>
      <c r="U173" s="319"/>
      <c r="V173" s="319"/>
      <c r="W173" s="319"/>
      <c r="X173" s="319"/>
      <c r="Y173" s="319"/>
      <c r="Z173" s="316" t="str">
        <f>IF(Y173="Yes","Please ensure the UI has been upgraded","")</f>
        <v/>
      </c>
    </row>
    <row r="174" spans="1:26" s="308" customFormat="1" ht="15.75" customHeight="1">
      <c r="A174"/>
      <c r="B174" s="322"/>
      <c r="C174" s="315" t="s">
        <v>309</v>
      </c>
      <c r="D174" s="315">
        <f>B174</f>
        <v>0</v>
      </c>
      <c r="E174" s="322" t="s">
        <v>309</v>
      </c>
      <c r="F174" s="315" t="str">
        <f>IF(B174="","",B174)</f>
        <v/>
      </c>
      <c r="G174" s="323"/>
      <c r="H174" s="322"/>
      <c r="I174" s="315"/>
      <c r="J174" s="315"/>
      <c r="K174" s="322"/>
      <c r="L174" s="315"/>
      <c r="M174" s="313"/>
      <c r="N174" s="319" t="s">
        <v>16</v>
      </c>
      <c r="O174" s="319" t="s">
        <v>16</v>
      </c>
      <c r="P174" s="321"/>
      <c r="Q174" s="320"/>
      <c r="R174" s="313"/>
      <c r="S174" s="319"/>
      <c r="T174" s="319"/>
      <c r="U174" s="319"/>
      <c r="V174" s="319"/>
      <c r="W174" s="319"/>
      <c r="X174" s="319"/>
      <c r="Y174" s="319"/>
      <c r="Z174" s="316" t="str">
        <f>IF(Y174="Yes","Please ensure the UI has been upgraded","")</f>
        <v/>
      </c>
    </row>
    <row r="175" spans="1:26" s="308" customFormat="1" ht="15.75" customHeight="1">
      <c r="A175"/>
      <c r="B175" s="322"/>
      <c r="C175" s="315" t="s">
        <v>309</v>
      </c>
      <c r="D175" s="315">
        <f>B175</f>
        <v>0</v>
      </c>
      <c r="E175" s="322" t="s">
        <v>309</v>
      </c>
      <c r="F175" s="315" t="str">
        <f>IF(B175="","",B175)</f>
        <v/>
      </c>
      <c r="G175" s="323"/>
      <c r="H175" s="322"/>
      <c r="I175" s="315"/>
      <c r="J175" s="315"/>
      <c r="K175" s="322"/>
      <c r="L175" s="315"/>
      <c r="M175" s="313"/>
      <c r="N175" s="319" t="s">
        <v>16</v>
      </c>
      <c r="O175" s="319" t="s">
        <v>16</v>
      </c>
      <c r="P175" s="321"/>
      <c r="Q175" s="320"/>
      <c r="R175" s="313"/>
      <c r="S175" s="319"/>
      <c r="T175" s="319"/>
      <c r="U175" s="319"/>
      <c r="V175" s="319"/>
      <c r="W175" s="319"/>
      <c r="X175" s="319"/>
      <c r="Y175" s="319"/>
      <c r="Z175" s="316" t="str">
        <f>IF(Y175="Yes","Please ensure the UI has been upgraded","")</f>
        <v/>
      </c>
    </row>
    <row r="176" spans="1:26" s="308" customFormat="1" ht="15.75" customHeight="1">
      <c r="A176"/>
      <c r="B176" s="322"/>
      <c r="C176" s="315" t="s">
        <v>309</v>
      </c>
      <c r="D176" s="315">
        <f>B176</f>
        <v>0</v>
      </c>
      <c r="E176" s="322" t="s">
        <v>309</v>
      </c>
      <c r="F176" s="315" t="str">
        <f>IF(B176="","",B176)</f>
        <v/>
      </c>
      <c r="G176" s="323"/>
      <c r="H176" s="322"/>
      <c r="I176" s="315"/>
      <c r="J176" s="315"/>
      <c r="K176" s="322"/>
      <c r="L176" s="315"/>
      <c r="M176" s="313"/>
      <c r="N176" s="319" t="s">
        <v>16</v>
      </c>
      <c r="O176" s="319" t="s">
        <v>16</v>
      </c>
      <c r="P176" s="321"/>
      <c r="Q176" s="320"/>
      <c r="R176" s="313"/>
      <c r="S176" s="319"/>
      <c r="T176" s="319"/>
      <c r="U176" s="319"/>
      <c r="V176" s="319"/>
      <c r="W176" s="319"/>
      <c r="X176" s="319"/>
      <c r="Y176" s="319"/>
      <c r="Z176" s="316" t="str">
        <f>IF(Y176="Yes","Please ensure the UI has been upgraded","")</f>
        <v/>
      </c>
    </row>
    <row r="177" spans="1:26" s="308" customFormat="1" ht="15.75" customHeight="1">
      <c r="A177"/>
      <c r="B177" s="322"/>
      <c r="C177" s="315" t="s">
        <v>309</v>
      </c>
      <c r="D177" s="315">
        <f>B177</f>
        <v>0</v>
      </c>
      <c r="E177" s="322" t="s">
        <v>309</v>
      </c>
      <c r="F177" s="315" t="str">
        <f>IF(B177="","",B177)</f>
        <v/>
      </c>
      <c r="G177" s="323"/>
      <c r="H177" s="322"/>
      <c r="I177" s="315"/>
      <c r="J177" s="315"/>
      <c r="K177" s="322"/>
      <c r="L177" s="315"/>
      <c r="M177" s="313"/>
      <c r="N177" s="319" t="s">
        <v>16</v>
      </c>
      <c r="O177" s="319" t="s">
        <v>16</v>
      </c>
      <c r="P177" s="321"/>
      <c r="Q177" s="320"/>
      <c r="R177" s="313"/>
      <c r="S177" s="319"/>
      <c r="T177" s="319"/>
      <c r="U177" s="319"/>
      <c r="V177" s="319"/>
      <c r="W177" s="319"/>
      <c r="X177" s="319"/>
      <c r="Y177" s="319"/>
      <c r="Z177" s="316" t="str">
        <f>IF(Y177="Yes","Please ensure the UI has been upgraded","")</f>
        <v/>
      </c>
    </row>
    <row r="178" spans="1:26" s="308" customFormat="1" ht="15.75" customHeight="1">
      <c r="A178"/>
      <c r="B178" s="322"/>
      <c r="C178" s="315" t="s">
        <v>309</v>
      </c>
      <c r="D178" s="315">
        <f>B178</f>
        <v>0</v>
      </c>
      <c r="E178" s="322" t="s">
        <v>309</v>
      </c>
      <c r="F178" s="315" t="str">
        <f>IF(B178="","",B178)</f>
        <v/>
      </c>
      <c r="G178" s="323"/>
      <c r="H178" s="322"/>
      <c r="I178" s="315"/>
      <c r="J178" s="315"/>
      <c r="K178" s="322"/>
      <c r="L178" s="315"/>
      <c r="M178" s="313"/>
      <c r="N178" s="319" t="s">
        <v>16</v>
      </c>
      <c r="O178" s="319" t="s">
        <v>16</v>
      </c>
      <c r="P178" s="321"/>
      <c r="Q178" s="320"/>
      <c r="R178" s="313"/>
      <c r="S178" s="319"/>
      <c r="T178" s="319"/>
      <c r="U178" s="319"/>
      <c r="V178" s="319"/>
      <c r="W178" s="319"/>
      <c r="X178" s="319"/>
      <c r="Y178" s="319"/>
      <c r="Z178" s="316" t="str">
        <f>IF(Y178="Yes","Please ensure the UI has been upgraded","")</f>
        <v/>
      </c>
    </row>
    <row r="179" spans="1:26" s="308" customFormat="1" ht="15.75" customHeight="1">
      <c r="A179"/>
      <c r="B179" s="322"/>
      <c r="C179" s="315" t="s">
        <v>309</v>
      </c>
      <c r="D179" s="315">
        <f>B179</f>
        <v>0</v>
      </c>
      <c r="E179" s="322" t="s">
        <v>309</v>
      </c>
      <c r="F179" s="315" t="str">
        <f>IF(B179="","",B179)</f>
        <v/>
      </c>
      <c r="G179" s="323"/>
      <c r="H179" s="322"/>
      <c r="I179" s="315"/>
      <c r="J179" s="315"/>
      <c r="K179" s="322"/>
      <c r="L179" s="315"/>
      <c r="M179" s="313"/>
      <c r="N179" s="319" t="s">
        <v>16</v>
      </c>
      <c r="O179" s="319" t="s">
        <v>16</v>
      </c>
      <c r="P179" s="321"/>
      <c r="Q179" s="320"/>
      <c r="R179" s="313"/>
      <c r="S179" s="319"/>
      <c r="T179" s="319"/>
      <c r="U179" s="319"/>
      <c r="V179" s="319"/>
      <c r="W179" s="319"/>
      <c r="X179" s="319"/>
      <c r="Y179" s="319"/>
      <c r="Z179" s="316" t="str">
        <f>IF(Y179="Yes","Please ensure the UI has been upgraded","")</f>
        <v/>
      </c>
    </row>
    <row r="180" spans="1:26" s="308" customFormat="1" ht="15.75" customHeight="1">
      <c r="A180"/>
      <c r="B180" s="322"/>
      <c r="C180" s="315" t="s">
        <v>309</v>
      </c>
      <c r="D180" s="315">
        <f>B180</f>
        <v>0</v>
      </c>
      <c r="E180" s="322" t="s">
        <v>309</v>
      </c>
      <c r="F180" s="315" t="str">
        <f>IF(B180="","",B180)</f>
        <v/>
      </c>
      <c r="G180" s="323"/>
      <c r="H180" s="322"/>
      <c r="I180" s="315"/>
      <c r="J180" s="315"/>
      <c r="K180" s="322"/>
      <c r="L180" s="315"/>
      <c r="M180" s="313"/>
      <c r="N180" s="319" t="s">
        <v>16</v>
      </c>
      <c r="O180" s="319" t="s">
        <v>16</v>
      </c>
      <c r="P180" s="321"/>
      <c r="Q180" s="320"/>
      <c r="R180" s="313"/>
      <c r="S180" s="319"/>
      <c r="T180" s="319"/>
      <c r="U180" s="319"/>
      <c r="V180" s="319"/>
      <c r="W180" s="319"/>
      <c r="X180" s="319"/>
      <c r="Y180" s="319"/>
      <c r="Z180" s="316"/>
    </row>
    <row r="181" spans="1:26" s="308" customFormat="1" ht="15.75" customHeight="1">
      <c r="A181"/>
      <c r="B181" s="322"/>
      <c r="C181" s="315" t="s">
        <v>309</v>
      </c>
      <c r="D181" s="315">
        <f>B181</f>
        <v>0</v>
      </c>
      <c r="E181" s="322" t="s">
        <v>309</v>
      </c>
      <c r="F181" s="315" t="str">
        <f>IF(B181="","",B181)</f>
        <v/>
      </c>
      <c r="G181" s="323"/>
      <c r="H181" s="322"/>
      <c r="I181" s="315"/>
      <c r="J181" s="315"/>
      <c r="K181" s="322"/>
      <c r="L181" s="315"/>
      <c r="M181" s="313"/>
      <c r="N181" s="319" t="s">
        <v>16</v>
      </c>
      <c r="O181" s="319" t="s">
        <v>16</v>
      </c>
      <c r="P181" s="321"/>
      <c r="Q181" s="320"/>
      <c r="R181" s="313"/>
      <c r="S181" s="319"/>
      <c r="T181" s="319"/>
      <c r="U181" s="319"/>
      <c r="V181" s="319"/>
      <c r="W181" s="319"/>
      <c r="X181" s="319"/>
      <c r="Y181" s="319"/>
      <c r="Z181" s="316"/>
    </row>
    <row r="182" spans="1:26" s="308" customFormat="1" ht="15.75" customHeight="1">
      <c r="A182"/>
      <c r="B182" s="322"/>
      <c r="C182" s="315" t="s">
        <v>309</v>
      </c>
      <c r="D182" s="315">
        <f>B182</f>
        <v>0</v>
      </c>
      <c r="E182" s="322" t="s">
        <v>309</v>
      </c>
      <c r="F182" s="315" t="str">
        <f>IF(B182="","",B182)</f>
        <v/>
      </c>
      <c r="G182" s="323"/>
      <c r="H182" s="322"/>
      <c r="I182" s="315"/>
      <c r="J182" s="315"/>
      <c r="K182" s="322"/>
      <c r="L182" s="315"/>
      <c r="M182" s="313"/>
      <c r="N182" s="319" t="s">
        <v>16</v>
      </c>
      <c r="O182" s="319" t="s">
        <v>16</v>
      </c>
      <c r="P182" s="321"/>
      <c r="Q182" s="320"/>
      <c r="R182" s="313"/>
      <c r="S182" s="319"/>
      <c r="T182" s="319"/>
      <c r="U182" s="319"/>
      <c r="V182" s="319"/>
      <c r="W182" s="319"/>
      <c r="X182" s="319"/>
      <c r="Y182" s="319"/>
      <c r="Z182" s="316" t="str">
        <f>IF(Y182="Yes","Please ensure the UI has been upgraded","")</f>
        <v/>
      </c>
    </row>
    <row r="183" spans="1:26" s="308" customFormat="1" ht="15.75" customHeight="1">
      <c r="A183"/>
      <c r="B183" s="322"/>
      <c r="C183" s="315" t="s">
        <v>309</v>
      </c>
      <c r="D183" s="315">
        <f>B183</f>
        <v>0</v>
      </c>
      <c r="E183" s="322" t="s">
        <v>309</v>
      </c>
      <c r="F183" s="315" t="str">
        <f>IF(B183="","",B183)</f>
        <v/>
      </c>
      <c r="G183" s="323"/>
      <c r="H183" s="322"/>
      <c r="I183" s="315"/>
      <c r="J183" s="315"/>
      <c r="K183" s="322"/>
      <c r="L183" s="315"/>
      <c r="M183" s="313"/>
      <c r="N183" s="319" t="s">
        <v>16</v>
      </c>
      <c r="O183" s="319" t="s">
        <v>16</v>
      </c>
      <c r="P183" s="321"/>
      <c r="Q183" s="320"/>
      <c r="R183" s="313"/>
      <c r="S183" s="319"/>
      <c r="T183" s="319"/>
      <c r="U183" s="319"/>
      <c r="V183" s="319"/>
      <c r="W183" s="319"/>
      <c r="X183" s="319"/>
      <c r="Y183" s="319"/>
      <c r="Z183" s="316" t="str">
        <f>IF(Y183="Yes","Please ensure the UI has been upgraded","")</f>
        <v/>
      </c>
    </row>
    <row r="184" spans="1:26" s="308" customFormat="1" ht="15.75" customHeight="1">
      <c r="A184"/>
      <c r="B184" s="322"/>
      <c r="C184" s="315" t="s">
        <v>309</v>
      </c>
      <c r="D184" s="315">
        <f>B184</f>
        <v>0</v>
      </c>
      <c r="E184" s="322" t="s">
        <v>309</v>
      </c>
      <c r="F184" s="315" t="str">
        <f>IF(B184="","",B184)</f>
        <v/>
      </c>
      <c r="G184" s="323"/>
      <c r="H184" s="322"/>
      <c r="I184" s="315"/>
      <c r="J184" s="315"/>
      <c r="K184" s="322"/>
      <c r="L184" s="315"/>
      <c r="M184" s="313"/>
      <c r="N184" s="319" t="s">
        <v>16</v>
      </c>
      <c r="O184" s="319" t="s">
        <v>16</v>
      </c>
      <c r="P184" s="321"/>
      <c r="Q184" s="320"/>
      <c r="R184" s="313"/>
      <c r="S184" s="319"/>
      <c r="T184" s="319"/>
      <c r="U184" s="319"/>
      <c r="V184" s="319"/>
      <c r="W184" s="319"/>
      <c r="X184" s="319"/>
      <c r="Y184" s="319"/>
      <c r="Z184" s="316" t="str">
        <f>IF(Y184="Yes","Please ensure the UI has been upgraded","")</f>
        <v/>
      </c>
    </row>
    <row r="185" spans="1:26" s="308" customFormat="1" ht="15.75" customHeight="1">
      <c r="A185"/>
      <c r="B185" s="322"/>
      <c r="C185" s="315" t="s">
        <v>309</v>
      </c>
      <c r="D185" s="315">
        <f>B185</f>
        <v>0</v>
      </c>
      <c r="E185" s="322" t="s">
        <v>309</v>
      </c>
      <c r="F185" s="315" t="str">
        <f>IF(B185="","",B185)</f>
        <v/>
      </c>
      <c r="G185" s="323"/>
      <c r="H185" s="322"/>
      <c r="I185" s="315"/>
      <c r="J185" s="315"/>
      <c r="K185" s="322"/>
      <c r="L185" s="315"/>
      <c r="M185" s="313"/>
      <c r="N185" s="319" t="s">
        <v>16</v>
      </c>
      <c r="O185" s="319" t="s">
        <v>16</v>
      </c>
      <c r="P185" s="321"/>
      <c r="Q185" s="320"/>
      <c r="R185" s="313"/>
      <c r="S185" s="319"/>
      <c r="T185" s="319"/>
      <c r="U185" s="319"/>
      <c r="V185" s="319"/>
      <c r="W185" s="319"/>
      <c r="X185" s="319"/>
      <c r="Y185" s="319"/>
      <c r="Z185" s="316" t="str">
        <f>IF(Y185="Yes","Please ensure the UI has been upgraded","")</f>
        <v/>
      </c>
    </row>
    <row r="186" spans="1:26" s="308" customFormat="1" ht="15.75" customHeight="1">
      <c r="A186"/>
      <c r="B186" s="322"/>
      <c r="C186" s="315" t="s">
        <v>309</v>
      </c>
      <c r="D186" s="315">
        <f>B186</f>
        <v>0</v>
      </c>
      <c r="E186" s="322" t="s">
        <v>309</v>
      </c>
      <c r="F186" s="315" t="str">
        <f>IF(B186="","",B186)</f>
        <v/>
      </c>
      <c r="G186" s="323"/>
      <c r="H186" s="322"/>
      <c r="I186" s="315"/>
      <c r="J186" s="315"/>
      <c r="K186" s="322"/>
      <c r="L186" s="315"/>
      <c r="M186" s="313"/>
      <c r="N186" s="319" t="s">
        <v>16</v>
      </c>
      <c r="O186" s="319" t="s">
        <v>16</v>
      </c>
      <c r="P186" s="321"/>
      <c r="Q186" s="320"/>
      <c r="R186" s="313"/>
      <c r="S186" s="319"/>
      <c r="T186" s="319"/>
      <c r="U186" s="319"/>
      <c r="V186" s="319"/>
      <c r="W186" s="319"/>
      <c r="X186" s="319"/>
      <c r="Y186" s="319"/>
      <c r="Z186" s="316" t="str">
        <f>IF(Y186="Yes","Please ensure the UI has been upgraded","")</f>
        <v/>
      </c>
    </row>
    <row r="187" spans="1:26" s="308" customFormat="1" ht="15.75" customHeight="1">
      <c r="A187"/>
      <c r="B187" s="322"/>
      <c r="C187" s="315" t="s">
        <v>309</v>
      </c>
      <c r="D187" s="315">
        <f>B187</f>
        <v>0</v>
      </c>
      <c r="E187" s="322" t="s">
        <v>309</v>
      </c>
      <c r="F187" s="315" t="str">
        <f>IF(B187="","",B187)</f>
        <v/>
      </c>
      <c r="G187" s="323"/>
      <c r="H187" s="322"/>
      <c r="I187" s="315"/>
      <c r="J187" s="315"/>
      <c r="K187" s="322"/>
      <c r="L187" s="315"/>
      <c r="M187" s="313"/>
      <c r="N187" s="319" t="s">
        <v>16</v>
      </c>
      <c r="O187" s="319" t="s">
        <v>16</v>
      </c>
      <c r="P187" s="321"/>
      <c r="Q187" s="320"/>
      <c r="R187" s="313"/>
      <c r="S187" s="319"/>
      <c r="T187" s="319"/>
      <c r="U187" s="319"/>
      <c r="V187" s="319"/>
      <c r="W187" s="319"/>
      <c r="X187" s="319"/>
      <c r="Y187" s="319"/>
      <c r="Z187" s="316" t="str">
        <f>IF(Y187="Yes","Please ensure the UI has been upgraded","")</f>
        <v/>
      </c>
    </row>
    <row r="188" spans="1:26" s="308" customFormat="1" ht="15.75" customHeight="1">
      <c r="A188"/>
      <c r="B188" s="322"/>
      <c r="C188" s="315" t="s">
        <v>309</v>
      </c>
      <c r="D188" s="315">
        <f>B188</f>
        <v>0</v>
      </c>
      <c r="E188" s="322" t="s">
        <v>309</v>
      </c>
      <c r="F188" s="315" t="str">
        <f>IF(B188="","",B188)</f>
        <v/>
      </c>
      <c r="G188" s="323"/>
      <c r="H188" s="322"/>
      <c r="I188" s="315"/>
      <c r="J188" s="315"/>
      <c r="K188" s="322"/>
      <c r="L188" s="315"/>
      <c r="M188" s="313"/>
      <c r="N188" s="319" t="s">
        <v>16</v>
      </c>
      <c r="O188" s="319" t="s">
        <v>16</v>
      </c>
      <c r="P188" s="321"/>
      <c r="Q188" s="320"/>
      <c r="R188" s="313"/>
      <c r="S188" s="319"/>
      <c r="T188" s="319"/>
      <c r="U188" s="319"/>
      <c r="V188" s="319"/>
      <c r="W188" s="319"/>
      <c r="X188" s="319"/>
      <c r="Y188" s="319"/>
      <c r="Z188" s="316" t="str">
        <f>IF(Y188="Yes","Please ensure the UI has been upgraded","")</f>
        <v/>
      </c>
    </row>
    <row r="189" spans="1:26" s="308" customFormat="1" ht="15.75" customHeight="1">
      <c r="A189"/>
      <c r="B189" s="322"/>
      <c r="C189" s="315" t="s">
        <v>309</v>
      </c>
      <c r="D189" s="315">
        <f>B189</f>
        <v>0</v>
      </c>
      <c r="E189" s="322" t="s">
        <v>309</v>
      </c>
      <c r="F189" s="315" t="str">
        <f>IF(B189="","",B189)</f>
        <v/>
      </c>
      <c r="G189" s="323"/>
      <c r="H189" s="322"/>
      <c r="I189" s="315"/>
      <c r="J189" s="315"/>
      <c r="K189" s="322"/>
      <c r="L189" s="315"/>
      <c r="M189" s="313"/>
      <c r="N189" s="319" t="s">
        <v>16</v>
      </c>
      <c r="O189" s="319" t="s">
        <v>16</v>
      </c>
      <c r="P189" s="321"/>
      <c r="Q189" s="320"/>
      <c r="R189" s="313"/>
      <c r="S189" s="319"/>
      <c r="T189" s="319"/>
      <c r="U189" s="319"/>
      <c r="V189" s="319"/>
      <c r="W189" s="319"/>
      <c r="X189" s="319"/>
      <c r="Y189" s="319"/>
      <c r="Z189" s="316" t="str">
        <f>IF(Y189="Yes","Please ensure the UI has been upgraded","")</f>
        <v/>
      </c>
    </row>
    <row r="190" spans="1:26" s="308" customFormat="1" ht="15.75" customHeight="1">
      <c r="A190"/>
      <c r="B190" s="322"/>
      <c r="C190" s="315" t="s">
        <v>309</v>
      </c>
      <c r="D190" s="315">
        <f>B190</f>
        <v>0</v>
      </c>
      <c r="E190" s="322" t="s">
        <v>309</v>
      </c>
      <c r="F190" s="315" t="str">
        <f>IF(B190="","",B190)</f>
        <v/>
      </c>
      <c r="G190" s="323"/>
      <c r="H190" s="322"/>
      <c r="I190" s="315"/>
      <c r="J190" s="315"/>
      <c r="K190" s="322"/>
      <c r="L190" s="315"/>
      <c r="M190" s="313"/>
      <c r="N190" s="319" t="s">
        <v>16</v>
      </c>
      <c r="O190" s="319" t="s">
        <v>16</v>
      </c>
      <c r="P190" s="321"/>
      <c r="Q190" s="320"/>
      <c r="R190" s="313"/>
      <c r="S190" s="319"/>
      <c r="T190" s="319"/>
      <c r="U190" s="319"/>
      <c r="V190" s="319"/>
      <c r="W190" s="319"/>
      <c r="X190" s="319"/>
      <c r="Y190" s="319"/>
      <c r="Z190" s="316" t="str">
        <f>IF(Y190="Yes","Please ensure the UI has been upgraded","")</f>
        <v/>
      </c>
    </row>
    <row r="191" spans="1:26" s="308" customFormat="1" ht="15.75" customHeight="1">
      <c r="A191"/>
      <c r="B191" s="322"/>
      <c r="C191" s="315" t="s">
        <v>309</v>
      </c>
      <c r="D191" s="315">
        <f>B191</f>
        <v>0</v>
      </c>
      <c r="E191" s="322" t="s">
        <v>309</v>
      </c>
      <c r="F191" s="315" t="str">
        <f>IF(B191="","",B191)</f>
        <v/>
      </c>
      <c r="G191" s="323"/>
      <c r="H191" s="322"/>
      <c r="I191" s="315"/>
      <c r="J191" s="315"/>
      <c r="K191" s="322"/>
      <c r="L191" s="315"/>
      <c r="M191" s="313"/>
      <c r="N191" s="319" t="s">
        <v>16</v>
      </c>
      <c r="O191" s="319" t="s">
        <v>16</v>
      </c>
      <c r="P191" s="321"/>
      <c r="Q191" s="320"/>
      <c r="R191" s="313"/>
      <c r="S191" s="319"/>
      <c r="T191" s="319"/>
      <c r="U191" s="319"/>
      <c r="V191" s="319"/>
      <c r="W191" s="319"/>
      <c r="X191" s="319"/>
      <c r="Y191" s="319"/>
      <c r="Z191" s="316" t="str">
        <f>IF(Y191="Yes","Please ensure the UI has been upgraded","")</f>
        <v/>
      </c>
    </row>
    <row r="192" spans="1:26" s="308" customFormat="1" ht="15.75" customHeight="1">
      <c r="A192"/>
      <c r="B192" s="322"/>
      <c r="C192" s="315" t="s">
        <v>309</v>
      </c>
      <c r="D192" s="315">
        <f>B192</f>
        <v>0</v>
      </c>
      <c r="E192" s="322" t="s">
        <v>309</v>
      </c>
      <c r="F192" s="315" t="str">
        <f>IF(B192="","",B192)</f>
        <v/>
      </c>
      <c r="G192" s="323"/>
      <c r="H192" s="322"/>
      <c r="I192" s="315"/>
      <c r="J192" s="315"/>
      <c r="K192" s="322"/>
      <c r="L192" s="315"/>
      <c r="M192" s="313"/>
      <c r="N192" s="319" t="s">
        <v>16</v>
      </c>
      <c r="O192" s="319" t="s">
        <v>16</v>
      </c>
      <c r="P192" s="321"/>
      <c r="Q192" s="320"/>
      <c r="R192" s="313"/>
      <c r="S192" s="319"/>
      <c r="T192" s="319"/>
      <c r="U192" s="319"/>
      <c r="V192" s="319"/>
      <c r="W192" s="319"/>
      <c r="X192" s="319"/>
      <c r="Y192" s="319"/>
      <c r="Z192" s="316" t="str">
        <f>IF(Y192="Yes","Please ensure the UI has been upgraded","")</f>
        <v/>
      </c>
    </row>
    <row r="193" spans="1:26" s="308" customFormat="1" ht="15.75" customHeight="1">
      <c r="A193"/>
      <c r="B193" s="322"/>
      <c r="C193" s="315" t="s">
        <v>309</v>
      </c>
      <c r="D193" s="315">
        <f>B193</f>
        <v>0</v>
      </c>
      <c r="E193" s="322" t="s">
        <v>309</v>
      </c>
      <c r="F193" s="315" t="str">
        <f>IF(B193="","",B193)</f>
        <v/>
      </c>
      <c r="G193" s="323"/>
      <c r="H193" s="322"/>
      <c r="I193" s="315"/>
      <c r="J193" s="315"/>
      <c r="K193" s="322"/>
      <c r="L193" s="315"/>
      <c r="M193" s="313"/>
      <c r="N193" s="319" t="s">
        <v>16</v>
      </c>
      <c r="O193" s="319" t="s">
        <v>16</v>
      </c>
      <c r="P193" s="321"/>
      <c r="Q193" s="320"/>
      <c r="R193" s="313"/>
      <c r="S193" s="319"/>
      <c r="T193" s="319"/>
      <c r="U193" s="319"/>
      <c r="V193" s="319"/>
      <c r="W193" s="319"/>
      <c r="X193" s="319"/>
      <c r="Y193" s="319"/>
      <c r="Z193" s="316" t="str">
        <f>IF(Y193="Yes","Please ensure the UI has been upgraded","")</f>
        <v/>
      </c>
    </row>
    <row r="194" spans="1:26" s="308" customFormat="1" ht="15.75" customHeight="1">
      <c r="A194"/>
      <c r="B194" s="322"/>
      <c r="C194" s="315" t="s">
        <v>309</v>
      </c>
      <c r="D194" s="315">
        <f>B194</f>
        <v>0</v>
      </c>
      <c r="E194" s="322" t="s">
        <v>309</v>
      </c>
      <c r="F194" s="315" t="str">
        <f>IF(B194="","",B194)</f>
        <v/>
      </c>
      <c r="G194" s="323"/>
      <c r="H194" s="322"/>
      <c r="I194" s="315"/>
      <c r="J194" s="315"/>
      <c r="K194" s="322"/>
      <c r="L194" s="315"/>
      <c r="M194" s="313"/>
      <c r="N194" s="319" t="s">
        <v>16</v>
      </c>
      <c r="O194" s="319" t="s">
        <v>16</v>
      </c>
      <c r="P194" s="321"/>
      <c r="Q194" s="320"/>
      <c r="R194" s="313"/>
      <c r="S194" s="319"/>
      <c r="T194" s="319"/>
      <c r="U194" s="319"/>
      <c r="V194" s="319"/>
      <c r="W194" s="319"/>
      <c r="X194" s="319"/>
      <c r="Y194" s="319"/>
      <c r="Z194" s="316" t="str">
        <f>IF(Y194="Yes","Please ensure the UI has been upgraded","")</f>
        <v/>
      </c>
    </row>
    <row r="195" spans="1:26" s="308" customFormat="1" ht="15.75" customHeight="1">
      <c r="A195"/>
      <c r="B195" s="322"/>
      <c r="C195" s="315" t="s">
        <v>309</v>
      </c>
      <c r="D195" s="315">
        <f>B195</f>
        <v>0</v>
      </c>
      <c r="E195" s="322" t="s">
        <v>309</v>
      </c>
      <c r="F195" s="315" t="str">
        <f>IF(B195="","",B195)</f>
        <v/>
      </c>
      <c r="G195" s="323"/>
      <c r="H195" s="322"/>
      <c r="I195" s="315"/>
      <c r="J195" s="315"/>
      <c r="K195" s="322"/>
      <c r="L195" s="315"/>
      <c r="M195" s="313"/>
      <c r="N195" s="319" t="s">
        <v>16</v>
      </c>
      <c r="O195" s="319" t="s">
        <v>16</v>
      </c>
      <c r="P195" s="321"/>
      <c r="Q195" s="320"/>
      <c r="R195" s="313"/>
      <c r="S195" s="319"/>
      <c r="T195" s="319"/>
      <c r="U195" s="319"/>
      <c r="V195" s="319"/>
      <c r="W195" s="319"/>
      <c r="X195" s="319"/>
      <c r="Y195" s="319"/>
      <c r="Z195" s="316" t="str">
        <f>IF(Y195="Yes","Please ensure the UI has been upgraded","")</f>
        <v/>
      </c>
    </row>
    <row r="196" spans="1:26" s="308" customFormat="1" ht="15.75" customHeight="1">
      <c r="A196"/>
      <c r="B196" s="322"/>
      <c r="C196" s="315" t="s">
        <v>309</v>
      </c>
      <c r="D196" s="315">
        <f>B196</f>
        <v>0</v>
      </c>
      <c r="E196" s="322" t="s">
        <v>309</v>
      </c>
      <c r="F196" s="315" t="str">
        <f>IF(B196="","",B196)</f>
        <v/>
      </c>
      <c r="G196" s="323"/>
      <c r="H196" s="322"/>
      <c r="I196" s="315"/>
      <c r="J196" s="315"/>
      <c r="K196" s="322"/>
      <c r="L196" s="315"/>
      <c r="M196" s="313"/>
      <c r="N196" s="319" t="s">
        <v>16</v>
      </c>
      <c r="O196" s="319" t="s">
        <v>16</v>
      </c>
      <c r="P196" s="321"/>
      <c r="Q196" s="320"/>
      <c r="R196" s="313"/>
      <c r="S196" s="319"/>
      <c r="T196" s="319"/>
      <c r="U196" s="319"/>
      <c r="V196" s="319"/>
      <c r="W196" s="319"/>
      <c r="X196" s="319"/>
      <c r="Y196" s="319"/>
      <c r="Z196" s="316" t="str">
        <f>IF(Y196="Yes","Please ensure the UI has been upgraded","")</f>
        <v/>
      </c>
    </row>
    <row r="197" spans="1:26" s="308" customFormat="1" ht="15.75" customHeight="1">
      <c r="A197"/>
      <c r="B197" s="322"/>
      <c r="C197" s="315" t="s">
        <v>309</v>
      </c>
      <c r="D197" s="315">
        <f>B197</f>
        <v>0</v>
      </c>
      <c r="E197" s="322" t="s">
        <v>309</v>
      </c>
      <c r="F197" s="315" t="str">
        <f>IF(B197="","",B197)</f>
        <v/>
      </c>
      <c r="G197" s="323"/>
      <c r="H197" s="322"/>
      <c r="I197" s="315"/>
      <c r="J197" s="315"/>
      <c r="K197" s="322"/>
      <c r="L197" s="315"/>
      <c r="M197" s="313"/>
      <c r="N197" s="319" t="s">
        <v>16</v>
      </c>
      <c r="O197" s="319" t="s">
        <v>16</v>
      </c>
      <c r="P197" s="321"/>
      <c r="Q197" s="320"/>
      <c r="R197" s="313"/>
      <c r="S197" s="319"/>
      <c r="T197" s="319"/>
      <c r="U197" s="319"/>
      <c r="V197" s="319"/>
      <c r="W197" s="319"/>
      <c r="X197" s="319"/>
      <c r="Y197" s="319"/>
      <c r="Z197" s="316" t="str">
        <f>IF(Y197="Yes","Please ensure the UI has been upgraded","")</f>
        <v/>
      </c>
    </row>
    <row r="198" spans="1:26" s="308" customFormat="1" ht="15.75" customHeight="1">
      <c r="A198"/>
      <c r="B198" s="322"/>
      <c r="C198" s="315" t="s">
        <v>309</v>
      </c>
      <c r="D198" s="315">
        <f>B198</f>
        <v>0</v>
      </c>
      <c r="E198" s="322" t="s">
        <v>309</v>
      </c>
      <c r="F198" s="315" t="str">
        <f>IF(B198="","",B198)</f>
        <v/>
      </c>
      <c r="G198" s="323"/>
      <c r="H198" s="322"/>
      <c r="I198" s="315"/>
      <c r="J198" s="315"/>
      <c r="K198" s="322"/>
      <c r="L198" s="315"/>
      <c r="M198" s="313"/>
      <c r="N198" s="319" t="s">
        <v>16</v>
      </c>
      <c r="O198" s="319" t="s">
        <v>16</v>
      </c>
      <c r="P198" s="321"/>
      <c r="Q198" s="320"/>
      <c r="R198" s="313"/>
      <c r="S198" s="319"/>
      <c r="T198" s="319"/>
      <c r="U198" s="319"/>
      <c r="V198" s="319"/>
      <c r="W198" s="319"/>
      <c r="X198" s="319"/>
      <c r="Y198" s="319"/>
      <c r="Z198" s="316"/>
    </row>
    <row r="199" spans="1:26" s="308" customFormat="1" ht="15.75" customHeight="1">
      <c r="A199"/>
      <c r="B199" s="322"/>
      <c r="C199" s="315" t="s">
        <v>309</v>
      </c>
      <c r="D199" s="315">
        <f>B199</f>
        <v>0</v>
      </c>
      <c r="E199" s="322" t="s">
        <v>309</v>
      </c>
      <c r="F199" s="315" t="str">
        <f>IF(B199="","",B199)</f>
        <v/>
      </c>
      <c r="G199" s="323"/>
      <c r="H199" s="322"/>
      <c r="I199" s="315"/>
      <c r="J199" s="315"/>
      <c r="K199" s="322"/>
      <c r="L199" s="315"/>
      <c r="M199" s="313"/>
      <c r="N199" s="319" t="s">
        <v>16</v>
      </c>
      <c r="O199" s="319" t="s">
        <v>16</v>
      </c>
      <c r="P199" s="321"/>
      <c r="Q199" s="320"/>
      <c r="R199" s="313"/>
      <c r="S199" s="319"/>
      <c r="T199" s="319"/>
      <c r="U199" s="319"/>
      <c r="V199" s="319"/>
      <c r="W199" s="319"/>
      <c r="X199" s="319"/>
      <c r="Y199" s="319"/>
      <c r="Z199" s="316"/>
    </row>
    <row r="200" spans="1:26" s="308" customFormat="1" ht="15.75" customHeight="1">
      <c r="A200"/>
      <c r="B200" s="322"/>
      <c r="C200" s="315" t="s">
        <v>309</v>
      </c>
      <c r="D200" s="315">
        <f>B200</f>
        <v>0</v>
      </c>
      <c r="E200" s="322" t="s">
        <v>309</v>
      </c>
      <c r="F200" s="315" t="str">
        <f>IF(B200="","",B200)</f>
        <v/>
      </c>
      <c r="G200" s="323"/>
      <c r="H200" s="322"/>
      <c r="I200" s="315"/>
      <c r="J200" s="315"/>
      <c r="K200" s="322"/>
      <c r="L200" s="315"/>
      <c r="M200" s="313"/>
      <c r="N200" s="319" t="s">
        <v>16</v>
      </c>
      <c r="O200" s="319" t="s">
        <v>16</v>
      </c>
      <c r="P200" s="321"/>
      <c r="Q200" s="320"/>
      <c r="R200" s="313"/>
      <c r="S200" s="319"/>
      <c r="T200" s="319"/>
      <c r="U200" s="319"/>
      <c r="V200" s="319"/>
      <c r="W200" s="319"/>
      <c r="X200" s="319"/>
      <c r="Y200" s="319"/>
      <c r="Z200" s="316"/>
    </row>
    <row r="201" spans="1:26" s="308" customFormat="1" ht="15.75" customHeight="1">
      <c r="A201"/>
      <c r="B201" s="322"/>
      <c r="C201" s="315" t="s">
        <v>309</v>
      </c>
      <c r="D201" s="315">
        <f>B201</f>
        <v>0</v>
      </c>
      <c r="E201" s="322" t="s">
        <v>309</v>
      </c>
      <c r="F201" s="315" t="str">
        <f>IF(B201="","",B201)</f>
        <v/>
      </c>
      <c r="G201" s="323"/>
      <c r="H201" s="322"/>
      <c r="I201" s="315"/>
      <c r="J201" s="315"/>
      <c r="K201" s="322"/>
      <c r="L201" s="315"/>
      <c r="M201" s="313"/>
      <c r="N201" s="319" t="s">
        <v>16</v>
      </c>
      <c r="O201" s="319" t="s">
        <v>16</v>
      </c>
      <c r="P201" s="321"/>
      <c r="Q201" s="320"/>
      <c r="R201" s="313"/>
      <c r="S201" s="319"/>
      <c r="T201" s="319"/>
      <c r="U201" s="319"/>
      <c r="V201" s="319"/>
      <c r="W201" s="319"/>
      <c r="X201" s="319"/>
      <c r="Y201" s="319"/>
      <c r="Z201" s="316"/>
    </row>
    <row r="202" spans="1:26" s="308" customFormat="1" ht="15.75" customHeight="1">
      <c r="A202"/>
      <c r="B202" s="322"/>
      <c r="C202" s="315" t="s">
        <v>309</v>
      </c>
      <c r="D202" s="315">
        <f>B202</f>
        <v>0</v>
      </c>
      <c r="E202" s="322" t="s">
        <v>309</v>
      </c>
      <c r="F202" s="315" t="str">
        <f>IF(B202="","",B202)</f>
        <v/>
      </c>
      <c r="G202" s="323"/>
      <c r="H202" s="322"/>
      <c r="I202" s="315"/>
      <c r="J202" s="315"/>
      <c r="K202" s="322"/>
      <c r="L202" s="315"/>
      <c r="M202" s="313"/>
      <c r="N202" s="319" t="s">
        <v>16</v>
      </c>
      <c r="O202" s="319" t="s">
        <v>16</v>
      </c>
      <c r="P202" s="321"/>
      <c r="Q202" s="320"/>
      <c r="R202" s="313"/>
      <c r="S202" s="319"/>
      <c r="T202" s="319"/>
      <c r="U202" s="319"/>
      <c r="V202" s="319"/>
      <c r="W202" s="319"/>
      <c r="X202" s="319"/>
      <c r="Y202" s="319"/>
      <c r="Z202" s="316" t="str">
        <f>IF(Y202="Yes","Please ensure the UI has been upgraded","")</f>
        <v/>
      </c>
    </row>
    <row r="203" spans="1:26" s="308" customFormat="1" ht="15.75" customHeight="1">
      <c r="A203"/>
      <c r="B203" s="322"/>
      <c r="C203" s="315" t="s">
        <v>309</v>
      </c>
      <c r="D203" s="315">
        <f>B203</f>
        <v>0</v>
      </c>
      <c r="E203" s="322" t="s">
        <v>309</v>
      </c>
      <c r="F203" s="315" t="str">
        <f>IF(B203="","",B203)</f>
        <v/>
      </c>
      <c r="G203" s="323"/>
      <c r="H203" s="322"/>
      <c r="I203" s="315"/>
      <c r="J203" s="315"/>
      <c r="K203" s="322"/>
      <c r="L203" s="315"/>
      <c r="M203" s="313"/>
      <c r="N203" s="319" t="s">
        <v>16</v>
      </c>
      <c r="O203" s="319" t="s">
        <v>16</v>
      </c>
      <c r="P203" s="321"/>
      <c r="Q203" s="320"/>
      <c r="R203" s="313"/>
      <c r="S203" s="319"/>
      <c r="T203" s="319"/>
      <c r="U203" s="319"/>
      <c r="V203" s="319"/>
      <c r="W203" s="319"/>
      <c r="X203" s="319"/>
      <c r="Y203" s="319"/>
      <c r="Z203" s="316" t="str">
        <f>IF(Y203="Yes","Please ensure the UI has been upgraded","")</f>
        <v/>
      </c>
    </row>
    <row r="204" spans="1:26" s="308" customFormat="1" ht="15.75" customHeight="1">
      <c r="A204"/>
      <c r="B204" s="322"/>
      <c r="C204" s="315" t="s">
        <v>309</v>
      </c>
      <c r="D204" s="315">
        <f>B204</f>
        <v>0</v>
      </c>
      <c r="E204" s="322" t="s">
        <v>309</v>
      </c>
      <c r="F204" s="315" t="str">
        <f>IF(B204="","",B204)</f>
        <v/>
      </c>
      <c r="G204" s="323"/>
      <c r="H204" s="322"/>
      <c r="I204" s="315"/>
      <c r="J204" s="315"/>
      <c r="K204" s="322"/>
      <c r="L204" s="315"/>
      <c r="M204" s="313"/>
      <c r="N204" s="319" t="s">
        <v>16</v>
      </c>
      <c r="O204" s="319" t="s">
        <v>16</v>
      </c>
      <c r="P204" s="321"/>
      <c r="Q204" s="320"/>
      <c r="R204" s="313"/>
      <c r="S204" s="319"/>
      <c r="T204" s="319"/>
      <c r="U204" s="319"/>
      <c r="V204" s="319"/>
      <c r="W204" s="319"/>
      <c r="X204" s="319"/>
      <c r="Y204" s="319"/>
      <c r="Z204" s="316" t="str">
        <f>IF(Y204="Yes","Please ensure the UI has been upgraded","")</f>
        <v/>
      </c>
    </row>
    <row r="205" spans="1:26" s="308" customFormat="1" ht="15.75" customHeight="1">
      <c r="A205"/>
      <c r="B205" s="322"/>
      <c r="C205" s="315" t="s">
        <v>309</v>
      </c>
      <c r="D205" s="315">
        <f>B205</f>
        <v>0</v>
      </c>
      <c r="E205" s="322" t="s">
        <v>309</v>
      </c>
      <c r="F205" s="315" t="str">
        <f>IF(B205="","",B205)</f>
        <v/>
      </c>
      <c r="G205" s="323"/>
      <c r="H205" s="322"/>
      <c r="I205" s="315"/>
      <c r="J205" s="315"/>
      <c r="K205" s="322"/>
      <c r="L205" s="315"/>
      <c r="M205" s="313"/>
      <c r="N205" s="319" t="s">
        <v>16</v>
      </c>
      <c r="O205" s="319" t="s">
        <v>16</v>
      </c>
      <c r="P205" s="321"/>
      <c r="Q205" s="320"/>
      <c r="R205" s="313"/>
      <c r="S205" s="319"/>
      <c r="T205" s="319"/>
      <c r="U205" s="319"/>
      <c r="V205" s="319"/>
      <c r="W205" s="319"/>
      <c r="X205" s="319"/>
      <c r="Y205" s="319"/>
      <c r="Z205" s="316" t="str">
        <f>IF(Y205="Yes","Please ensure the UI has been upgraded","")</f>
        <v/>
      </c>
    </row>
    <row r="206" spans="1:26" s="308" customFormat="1" ht="15.75" customHeight="1">
      <c r="A206"/>
      <c r="B206" s="322"/>
      <c r="C206" s="315" t="s">
        <v>309</v>
      </c>
      <c r="D206" s="315">
        <f>B206</f>
        <v>0</v>
      </c>
      <c r="E206" s="322" t="s">
        <v>309</v>
      </c>
      <c r="F206" s="315" t="str">
        <f>IF(B206="","",B206)</f>
        <v/>
      </c>
      <c r="G206" s="323"/>
      <c r="H206" s="322"/>
      <c r="I206" s="315"/>
      <c r="J206" s="315"/>
      <c r="K206" s="322"/>
      <c r="L206" s="315"/>
      <c r="M206" s="313"/>
      <c r="N206" s="319" t="s">
        <v>16</v>
      </c>
      <c r="O206" s="319" t="s">
        <v>16</v>
      </c>
      <c r="P206" s="321"/>
      <c r="Q206" s="320"/>
      <c r="R206" s="313"/>
      <c r="S206" s="319"/>
      <c r="T206" s="319"/>
      <c r="U206" s="319"/>
      <c r="V206" s="319"/>
      <c r="W206" s="319"/>
      <c r="X206" s="319"/>
      <c r="Y206" s="319"/>
      <c r="Z206" s="316" t="str">
        <f>IF(Y206="Yes","Please ensure the UI has been upgraded","")</f>
        <v/>
      </c>
    </row>
    <row r="207" spans="1:26" s="308" customFormat="1" ht="15.75" customHeight="1">
      <c r="A207"/>
      <c r="B207" s="322"/>
      <c r="C207" s="315" t="s">
        <v>309</v>
      </c>
      <c r="D207" s="315">
        <f>B207</f>
        <v>0</v>
      </c>
      <c r="E207" s="322" t="s">
        <v>309</v>
      </c>
      <c r="F207" s="315" t="str">
        <f>IF(B207="","",B207)</f>
        <v/>
      </c>
      <c r="G207" s="323"/>
      <c r="H207" s="322"/>
      <c r="I207" s="315"/>
      <c r="J207" s="315"/>
      <c r="K207" s="322"/>
      <c r="L207" s="315"/>
      <c r="M207" s="313"/>
      <c r="N207" s="319" t="s">
        <v>16</v>
      </c>
      <c r="O207" s="319" t="s">
        <v>16</v>
      </c>
      <c r="P207" s="321"/>
      <c r="Q207" s="320"/>
      <c r="R207" s="313"/>
      <c r="S207" s="319"/>
      <c r="T207" s="319"/>
      <c r="U207" s="319"/>
      <c r="V207" s="319"/>
      <c r="W207" s="319"/>
      <c r="X207" s="319"/>
      <c r="Y207" s="319"/>
      <c r="Z207" s="316" t="str">
        <f>IF(Y207="Yes","Please ensure the UI has been upgraded","")</f>
        <v/>
      </c>
    </row>
    <row r="208" spans="1:26" s="308" customFormat="1" ht="15.75" customHeight="1">
      <c r="A208"/>
      <c r="B208" s="322"/>
      <c r="C208" s="315" t="s">
        <v>309</v>
      </c>
      <c r="D208" s="315">
        <f>B208</f>
        <v>0</v>
      </c>
      <c r="E208" s="322" t="s">
        <v>309</v>
      </c>
      <c r="F208" s="315" t="str">
        <f>IF(B208="","",B208)</f>
        <v/>
      </c>
      <c r="G208" s="323"/>
      <c r="H208" s="322"/>
      <c r="I208" s="315"/>
      <c r="J208" s="315"/>
      <c r="K208" s="322"/>
      <c r="L208" s="315"/>
      <c r="M208" s="313"/>
      <c r="N208" s="319" t="s">
        <v>16</v>
      </c>
      <c r="O208" s="319" t="s">
        <v>16</v>
      </c>
      <c r="P208" s="321"/>
      <c r="Q208" s="320"/>
      <c r="R208" s="313"/>
      <c r="S208" s="319"/>
      <c r="T208" s="319"/>
      <c r="U208" s="319"/>
      <c r="V208" s="319"/>
      <c r="W208" s="319"/>
      <c r="X208" s="319"/>
      <c r="Y208" s="319"/>
      <c r="Z208" s="316" t="str">
        <f>IF(Y208="Yes","Please ensure the UI has been upgraded","")</f>
        <v/>
      </c>
    </row>
    <row r="209" spans="1:26" s="308" customFormat="1" ht="15.75" customHeight="1">
      <c r="A209"/>
      <c r="B209" s="322"/>
      <c r="C209" s="315" t="s">
        <v>309</v>
      </c>
      <c r="D209" s="315">
        <f>B209</f>
        <v>0</v>
      </c>
      <c r="E209" s="322" t="s">
        <v>309</v>
      </c>
      <c r="F209" s="315" t="str">
        <f>IF(B209="","",B209)</f>
        <v/>
      </c>
      <c r="G209" s="323"/>
      <c r="H209" s="322"/>
      <c r="I209" s="315"/>
      <c r="J209" s="315"/>
      <c r="K209" s="322"/>
      <c r="L209" s="315"/>
      <c r="M209" s="313"/>
      <c r="N209" s="319" t="s">
        <v>16</v>
      </c>
      <c r="O209" s="319" t="s">
        <v>16</v>
      </c>
      <c r="P209" s="321"/>
      <c r="Q209" s="320"/>
      <c r="R209" s="313"/>
      <c r="S209" s="319"/>
      <c r="T209" s="319"/>
      <c r="U209" s="319"/>
      <c r="V209" s="319"/>
      <c r="W209" s="319"/>
      <c r="X209" s="319"/>
      <c r="Y209" s="319"/>
      <c r="Z209" s="316" t="str">
        <f>IF(Y209="Yes","Please ensure the UI has been upgraded","")</f>
        <v/>
      </c>
    </row>
    <row r="210" spans="1:26" s="308" customFormat="1" ht="15.75" customHeight="1">
      <c r="A210"/>
      <c r="B210" s="322"/>
      <c r="C210" s="315" t="s">
        <v>309</v>
      </c>
      <c r="D210" s="315">
        <f>B210</f>
        <v>0</v>
      </c>
      <c r="E210" s="322" t="s">
        <v>309</v>
      </c>
      <c r="F210" s="315" t="str">
        <f>IF(B210="","",B210)</f>
        <v/>
      </c>
      <c r="G210" s="323"/>
      <c r="H210" s="322"/>
      <c r="I210" s="315"/>
      <c r="J210" s="315"/>
      <c r="K210" s="322"/>
      <c r="L210" s="315"/>
      <c r="M210" s="313"/>
      <c r="N210" s="319" t="s">
        <v>16</v>
      </c>
      <c r="O210" s="319" t="s">
        <v>16</v>
      </c>
      <c r="P210" s="321"/>
      <c r="Q210" s="320"/>
      <c r="R210" s="313"/>
      <c r="S210" s="319"/>
      <c r="T210" s="319"/>
      <c r="U210" s="319"/>
      <c r="V210" s="319"/>
      <c r="W210" s="319"/>
      <c r="X210" s="319"/>
      <c r="Y210" s="319"/>
      <c r="Z210" s="316" t="str">
        <f>IF(Y210="Yes","Please ensure the UI has been upgraded","")</f>
        <v/>
      </c>
    </row>
    <row r="211" spans="1:26" s="308" customFormat="1" ht="15.75" customHeight="1">
      <c r="A211"/>
      <c r="B211" s="322"/>
      <c r="C211" s="315" t="s">
        <v>309</v>
      </c>
      <c r="D211" s="315">
        <f>B211</f>
        <v>0</v>
      </c>
      <c r="E211" s="322" t="s">
        <v>309</v>
      </c>
      <c r="F211" s="315" t="str">
        <f>IF(B211="","",B211)</f>
        <v/>
      </c>
      <c r="G211" s="323"/>
      <c r="H211" s="322"/>
      <c r="I211" s="315"/>
      <c r="J211" s="315"/>
      <c r="K211" s="322"/>
      <c r="L211" s="315"/>
      <c r="M211" s="313"/>
      <c r="N211" s="319" t="s">
        <v>16</v>
      </c>
      <c r="O211" s="319" t="s">
        <v>16</v>
      </c>
      <c r="P211" s="321"/>
      <c r="Q211" s="320"/>
      <c r="R211" s="313"/>
      <c r="S211" s="319"/>
      <c r="T211" s="319"/>
      <c r="U211" s="319"/>
      <c r="V211" s="319"/>
      <c r="W211" s="319"/>
      <c r="X211" s="319"/>
      <c r="Y211" s="319"/>
      <c r="Z211" s="316" t="str">
        <f>IF(Y211="Yes","Please ensure the UI has been upgraded","")</f>
        <v/>
      </c>
    </row>
    <row r="212" spans="1:26" s="308" customFormat="1" ht="15.75" customHeight="1">
      <c r="A212"/>
      <c r="B212" s="322"/>
      <c r="C212" s="315" t="s">
        <v>309</v>
      </c>
      <c r="D212" s="315">
        <f>B212</f>
        <v>0</v>
      </c>
      <c r="E212" s="322" t="s">
        <v>309</v>
      </c>
      <c r="F212" s="315" t="str">
        <f>IF(B212="","",B212)</f>
        <v/>
      </c>
      <c r="G212" s="323"/>
      <c r="H212" s="322"/>
      <c r="I212" s="315"/>
      <c r="J212" s="315"/>
      <c r="K212" s="322"/>
      <c r="L212" s="315"/>
      <c r="M212" s="313"/>
      <c r="N212" s="319" t="s">
        <v>16</v>
      </c>
      <c r="O212" s="319" t="s">
        <v>16</v>
      </c>
      <c r="P212" s="321"/>
      <c r="Q212" s="320"/>
      <c r="R212" s="313"/>
      <c r="S212" s="319"/>
      <c r="T212" s="319"/>
      <c r="U212" s="319"/>
      <c r="V212" s="319"/>
      <c r="W212" s="319"/>
      <c r="X212" s="319"/>
      <c r="Y212" s="319"/>
      <c r="Z212" s="316" t="str">
        <f>IF(Y212="Yes","Please ensure the UI has been upgraded","")</f>
        <v/>
      </c>
    </row>
    <row r="213" spans="1:26" s="308" customFormat="1" ht="15.75" customHeight="1">
      <c r="A213"/>
      <c r="B213" s="322"/>
      <c r="C213" s="315" t="s">
        <v>309</v>
      </c>
      <c r="D213" s="315">
        <f>B213</f>
        <v>0</v>
      </c>
      <c r="E213" s="322" t="s">
        <v>309</v>
      </c>
      <c r="F213" s="315" t="str">
        <f>IF(B213="","",B213)</f>
        <v/>
      </c>
      <c r="G213" s="323"/>
      <c r="H213" s="322"/>
      <c r="I213" s="315"/>
      <c r="J213" s="315"/>
      <c r="K213" s="322"/>
      <c r="L213" s="315"/>
      <c r="M213" s="313"/>
      <c r="N213" s="319" t="s">
        <v>16</v>
      </c>
      <c r="O213" s="319" t="s">
        <v>16</v>
      </c>
      <c r="P213" s="321"/>
      <c r="Q213" s="320"/>
      <c r="R213" s="313"/>
      <c r="S213" s="319"/>
      <c r="T213" s="319"/>
      <c r="U213" s="319"/>
      <c r="V213" s="319"/>
      <c r="W213" s="319"/>
      <c r="X213" s="319"/>
      <c r="Y213" s="319"/>
      <c r="Z213" s="316" t="str">
        <f>IF(Y213="Yes","Please ensure the UI has been upgraded","")</f>
        <v/>
      </c>
    </row>
    <row r="214" spans="1:26" s="308" customFormat="1" ht="15.75" customHeight="1">
      <c r="A214"/>
      <c r="B214" s="322"/>
      <c r="C214" s="315" t="s">
        <v>309</v>
      </c>
      <c r="D214" s="315">
        <f>B214</f>
        <v>0</v>
      </c>
      <c r="E214" s="322" t="s">
        <v>309</v>
      </c>
      <c r="F214" s="315" t="str">
        <f>IF(B214="","",B214)</f>
        <v/>
      </c>
      <c r="G214" s="323"/>
      <c r="H214" s="322"/>
      <c r="I214" s="315"/>
      <c r="J214" s="315"/>
      <c r="K214" s="322"/>
      <c r="L214" s="315"/>
      <c r="M214" s="313"/>
      <c r="N214" s="319" t="s">
        <v>16</v>
      </c>
      <c r="O214" s="319" t="s">
        <v>16</v>
      </c>
      <c r="P214" s="321"/>
      <c r="Q214" s="320"/>
      <c r="R214" s="313"/>
      <c r="S214" s="319"/>
      <c r="T214" s="319"/>
      <c r="U214" s="319"/>
      <c r="V214" s="319"/>
      <c r="W214" s="319"/>
      <c r="X214" s="319"/>
      <c r="Y214" s="319"/>
      <c r="Z214" s="316" t="str">
        <f>IF(Y214="Yes","Please ensure the UI has been upgraded","")</f>
        <v/>
      </c>
    </row>
    <row r="215" spans="1:26" s="308" customFormat="1" ht="15.75" customHeight="1">
      <c r="A215"/>
      <c r="B215" s="322"/>
      <c r="C215" s="315" t="s">
        <v>309</v>
      </c>
      <c r="D215" s="315">
        <f>B215</f>
        <v>0</v>
      </c>
      <c r="E215" s="322" t="s">
        <v>309</v>
      </c>
      <c r="F215" s="315" t="str">
        <f>IF(B215="","",B215)</f>
        <v/>
      </c>
      <c r="G215" s="323"/>
      <c r="H215" s="322"/>
      <c r="I215" s="315"/>
      <c r="J215" s="315"/>
      <c r="K215" s="322"/>
      <c r="L215" s="315"/>
      <c r="M215" s="313"/>
      <c r="N215" s="319" t="s">
        <v>16</v>
      </c>
      <c r="O215" s="319" t="s">
        <v>16</v>
      </c>
      <c r="P215" s="321"/>
      <c r="Q215" s="320"/>
      <c r="R215" s="313"/>
      <c r="S215" s="319"/>
      <c r="T215" s="319"/>
      <c r="U215" s="319"/>
      <c r="V215" s="319"/>
      <c r="W215" s="319"/>
      <c r="X215" s="319"/>
      <c r="Y215" s="319"/>
      <c r="Z215" s="316" t="str">
        <f>IF(Y215="Yes","Please ensure the UI has been upgraded","")</f>
        <v/>
      </c>
    </row>
    <row r="216" spans="1:26" s="308" customFormat="1" ht="15.75" customHeight="1">
      <c r="A216"/>
      <c r="B216" s="322"/>
      <c r="C216" s="315" t="s">
        <v>309</v>
      </c>
      <c r="D216" s="315">
        <f>B216</f>
        <v>0</v>
      </c>
      <c r="E216" s="322" t="s">
        <v>309</v>
      </c>
      <c r="F216" s="315" t="str">
        <f>IF(B216="","",B216)</f>
        <v/>
      </c>
      <c r="G216" s="323"/>
      <c r="H216" s="322"/>
      <c r="I216" s="315"/>
      <c r="J216" s="315"/>
      <c r="K216" s="322"/>
      <c r="L216" s="315"/>
      <c r="M216" s="313"/>
      <c r="N216" s="319" t="s">
        <v>16</v>
      </c>
      <c r="O216" s="319" t="s">
        <v>16</v>
      </c>
      <c r="P216" s="321"/>
      <c r="Q216" s="320"/>
      <c r="R216" s="313"/>
      <c r="S216" s="319"/>
      <c r="T216" s="319"/>
      <c r="U216" s="319"/>
      <c r="V216" s="319"/>
      <c r="W216" s="319"/>
      <c r="X216" s="319"/>
      <c r="Y216" s="319"/>
      <c r="Z216" s="316"/>
    </row>
    <row r="217" spans="1:26" s="308" customFormat="1" ht="15.75" customHeight="1">
      <c r="A217"/>
      <c r="B217" s="322"/>
      <c r="C217" s="315" t="s">
        <v>309</v>
      </c>
      <c r="D217" s="315">
        <f>B217</f>
        <v>0</v>
      </c>
      <c r="E217" s="322" t="s">
        <v>309</v>
      </c>
      <c r="F217" s="315" t="str">
        <f>IF(B217="","",B217)</f>
        <v/>
      </c>
      <c r="G217" s="323"/>
      <c r="H217" s="322"/>
      <c r="I217" s="315"/>
      <c r="J217" s="315"/>
      <c r="K217" s="322"/>
      <c r="L217" s="315"/>
      <c r="M217" s="313"/>
      <c r="N217" s="319" t="s">
        <v>16</v>
      </c>
      <c r="O217" s="319" t="s">
        <v>16</v>
      </c>
      <c r="P217" s="321"/>
      <c r="Q217" s="320"/>
      <c r="R217" s="313"/>
      <c r="S217" s="319"/>
      <c r="T217" s="319"/>
      <c r="U217" s="319"/>
      <c r="V217" s="319"/>
      <c r="W217" s="319"/>
      <c r="X217" s="319"/>
      <c r="Y217" s="319"/>
      <c r="Z217" s="316"/>
    </row>
    <row r="218" spans="1:26" s="308" customFormat="1" ht="15.75" customHeight="1">
      <c r="A218"/>
      <c r="B218" s="322"/>
      <c r="C218" s="315" t="s">
        <v>309</v>
      </c>
      <c r="D218" s="315">
        <f>B218</f>
        <v>0</v>
      </c>
      <c r="E218" s="322" t="s">
        <v>309</v>
      </c>
      <c r="F218" s="315" t="str">
        <f>IF(B218="","",B218)</f>
        <v/>
      </c>
      <c r="G218" s="323"/>
      <c r="H218" s="322"/>
      <c r="I218" s="315"/>
      <c r="J218" s="315"/>
      <c r="K218" s="322"/>
      <c r="L218" s="315"/>
      <c r="M218" s="313"/>
      <c r="N218" s="319" t="s">
        <v>16</v>
      </c>
      <c r="O218" s="319" t="s">
        <v>16</v>
      </c>
      <c r="P218" s="321"/>
      <c r="Q218" s="320"/>
      <c r="R218" s="313"/>
      <c r="S218" s="319"/>
      <c r="T218" s="319"/>
      <c r="U218" s="319"/>
      <c r="V218" s="319"/>
      <c r="W218" s="319"/>
      <c r="X218" s="319"/>
      <c r="Y218" s="319"/>
      <c r="Z218" s="316"/>
    </row>
    <row r="219" spans="1:26" s="308" customFormat="1" ht="15.75" customHeight="1">
      <c r="A219"/>
      <c r="B219" s="322"/>
      <c r="C219" s="315" t="s">
        <v>309</v>
      </c>
      <c r="D219" s="315">
        <f>B219</f>
        <v>0</v>
      </c>
      <c r="E219" s="322" t="s">
        <v>309</v>
      </c>
      <c r="F219" s="315" t="str">
        <f>IF(B219="","",B219)</f>
        <v/>
      </c>
      <c r="G219" s="323"/>
      <c r="H219" s="322"/>
      <c r="I219" s="315"/>
      <c r="J219" s="315"/>
      <c r="K219" s="322"/>
      <c r="L219" s="315"/>
      <c r="M219" s="313"/>
      <c r="N219" s="319" t="s">
        <v>16</v>
      </c>
      <c r="O219" s="319" t="s">
        <v>16</v>
      </c>
      <c r="P219" s="321"/>
      <c r="Q219" s="320"/>
      <c r="R219" s="313"/>
      <c r="S219" s="319"/>
      <c r="T219" s="319"/>
      <c r="U219" s="319"/>
      <c r="V219" s="319"/>
      <c r="W219" s="319"/>
      <c r="X219" s="319"/>
      <c r="Y219" s="319"/>
      <c r="Z219" s="316"/>
    </row>
    <row r="220" spans="1:26" s="308" customFormat="1" ht="15.75" customHeight="1">
      <c r="A220"/>
      <c r="B220" s="322"/>
      <c r="C220" s="315" t="s">
        <v>309</v>
      </c>
      <c r="D220" s="315">
        <f>B220</f>
        <v>0</v>
      </c>
      <c r="E220" s="322" t="s">
        <v>309</v>
      </c>
      <c r="F220" s="315" t="str">
        <f>IF(B220="","",B220)</f>
        <v/>
      </c>
      <c r="G220" s="323"/>
      <c r="H220" s="322"/>
      <c r="I220" s="315"/>
      <c r="J220" s="315"/>
      <c r="K220" s="322"/>
      <c r="L220" s="315"/>
      <c r="M220" s="313"/>
      <c r="N220" s="319" t="s">
        <v>16</v>
      </c>
      <c r="O220" s="319" t="s">
        <v>16</v>
      </c>
      <c r="P220" s="321"/>
      <c r="Q220" s="320"/>
      <c r="R220" s="313"/>
      <c r="S220" s="319"/>
      <c r="T220" s="319"/>
      <c r="U220" s="319"/>
      <c r="V220" s="319"/>
      <c r="W220" s="319"/>
      <c r="X220" s="319"/>
      <c r="Y220" s="319"/>
      <c r="Z220" s="316"/>
    </row>
    <row r="221" spans="1:26" s="308" customFormat="1" ht="15.75" customHeight="1">
      <c r="A221"/>
      <c r="B221" s="322"/>
      <c r="C221" s="315" t="s">
        <v>309</v>
      </c>
      <c r="D221" s="315">
        <f>B221</f>
        <v>0</v>
      </c>
      <c r="E221" s="322" t="s">
        <v>309</v>
      </c>
      <c r="F221" s="315" t="str">
        <f>IF(B221="","",B221)</f>
        <v/>
      </c>
      <c r="G221" s="323"/>
      <c r="H221" s="322"/>
      <c r="I221" s="315"/>
      <c r="J221" s="315"/>
      <c r="K221" s="322"/>
      <c r="L221" s="315"/>
      <c r="M221" s="313"/>
      <c r="N221" s="319" t="s">
        <v>16</v>
      </c>
      <c r="O221" s="319" t="s">
        <v>16</v>
      </c>
      <c r="P221" s="321"/>
      <c r="Q221" s="320"/>
      <c r="R221" s="313"/>
      <c r="S221" s="319"/>
      <c r="T221" s="319"/>
      <c r="U221" s="319"/>
      <c r="V221" s="319"/>
      <c r="W221" s="319"/>
      <c r="X221" s="319"/>
      <c r="Y221" s="319"/>
      <c r="Z221" s="316" t="str">
        <f>IF(Y221="Yes","Please ensure the UI has been upgraded","")</f>
        <v/>
      </c>
    </row>
    <row r="222" spans="1:26" s="308" customFormat="1" ht="15.75" customHeight="1">
      <c r="A222"/>
      <c r="B222" s="322"/>
      <c r="C222" s="315" t="s">
        <v>309</v>
      </c>
      <c r="D222" s="315">
        <f>B222</f>
        <v>0</v>
      </c>
      <c r="E222" s="322" t="s">
        <v>309</v>
      </c>
      <c r="F222" s="315" t="str">
        <f>IF(B222="","",B222)</f>
        <v/>
      </c>
      <c r="G222" s="323"/>
      <c r="H222" s="322"/>
      <c r="I222" s="315"/>
      <c r="J222" s="315"/>
      <c r="K222" s="322"/>
      <c r="L222" s="315"/>
      <c r="M222" s="313"/>
      <c r="N222" s="319" t="s">
        <v>16</v>
      </c>
      <c r="O222" s="319" t="s">
        <v>16</v>
      </c>
      <c r="P222" s="321"/>
      <c r="Q222" s="320"/>
      <c r="R222" s="313"/>
      <c r="S222" s="319"/>
      <c r="T222" s="319"/>
      <c r="U222" s="319"/>
      <c r="V222" s="319"/>
      <c r="W222" s="319"/>
      <c r="X222" s="319"/>
      <c r="Y222" s="319"/>
      <c r="Z222" s="316" t="str">
        <f>IF(Y222="Yes","Please ensure the UI has been upgraded","")</f>
        <v/>
      </c>
    </row>
    <row r="223" spans="1:26" s="308" customFormat="1" ht="15.75" customHeight="1">
      <c r="A223"/>
      <c r="B223" s="322"/>
      <c r="C223" s="315" t="s">
        <v>309</v>
      </c>
      <c r="D223" s="315">
        <f>B223</f>
        <v>0</v>
      </c>
      <c r="E223" s="322" t="s">
        <v>309</v>
      </c>
      <c r="F223" s="315" t="str">
        <f>IF(B223="","",B223)</f>
        <v/>
      </c>
      <c r="G223" s="323"/>
      <c r="H223" s="322"/>
      <c r="I223" s="315"/>
      <c r="J223" s="315"/>
      <c r="K223" s="322"/>
      <c r="L223" s="315"/>
      <c r="M223" s="313"/>
      <c r="N223" s="319" t="s">
        <v>16</v>
      </c>
      <c r="O223" s="319" t="s">
        <v>16</v>
      </c>
      <c r="P223" s="321"/>
      <c r="Q223" s="320"/>
      <c r="R223" s="313"/>
      <c r="S223" s="319"/>
      <c r="T223" s="319"/>
      <c r="U223" s="319"/>
      <c r="V223" s="319"/>
      <c r="W223" s="319"/>
      <c r="X223" s="319"/>
      <c r="Y223" s="319"/>
      <c r="Z223" s="316" t="str">
        <f>IF(Y223="Yes","Please ensure the UI has been upgraded","")</f>
        <v/>
      </c>
    </row>
    <row r="224" spans="1:26" s="308" customFormat="1" ht="15.75" customHeight="1">
      <c r="A224"/>
      <c r="B224" s="322"/>
      <c r="C224" s="315" t="s">
        <v>309</v>
      </c>
      <c r="D224" s="315">
        <f>B224</f>
        <v>0</v>
      </c>
      <c r="E224" s="322" t="s">
        <v>309</v>
      </c>
      <c r="F224" s="315" t="str">
        <f>IF(B224="","",B224)</f>
        <v/>
      </c>
      <c r="G224" s="323"/>
      <c r="H224" s="322"/>
      <c r="I224" s="315"/>
      <c r="J224" s="315"/>
      <c r="K224" s="322"/>
      <c r="L224" s="315"/>
      <c r="M224" s="313"/>
      <c r="N224" s="319" t="s">
        <v>16</v>
      </c>
      <c r="O224" s="319" t="s">
        <v>16</v>
      </c>
      <c r="P224" s="321"/>
      <c r="Q224" s="320"/>
      <c r="R224" s="313"/>
      <c r="S224" s="319"/>
      <c r="T224" s="319"/>
      <c r="U224" s="319"/>
      <c r="V224" s="319"/>
      <c r="W224" s="319"/>
      <c r="X224" s="319"/>
      <c r="Y224" s="319"/>
      <c r="Z224" s="316" t="str">
        <f>IF(Y224="Yes","Please ensure the UI has been upgraded","")</f>
        <v/>
      </c>
    </row>
    <row r="225" spans="2:26" s="308" customFormat="1" ht="15.75" customHeight="1">
      <c r="B225" s="322"/>
      <c r="C225" s="315" t="s">
        <v>309</v>
      </c>
      <c r="D225" s="315">
        <f>B225</f>
        <v>0</v>
      </c>
      <c r="E225" s="322" t="s">
        <v>309</v>
      </c>
      <c r="F225" s="315" t="str">
        <f>IF(B225="","",B225)</f>
        <v/>
      </c>
      <c r="G225" s="323"/>
      <c r="H225" s="322"/>
      <c r="I225" s="315"/>
      <c r="J225" s="315"/>
      <c r="K225" s="322"/>
      <c r="L225" s="315"/>
      <c r="M225" s="313"/>
      <c r="N225" s="319" t="s">
        <v>16</v>
      </c>
      <c r="O225" s="319" t="s">
        <v>16</v>
      </c>
      <c r="P225" s="321"/>
      <c r="Q225" s="320"/>
      <c r="R225" s="313"/>
      <c r="S225" s="319"/>
      <c r="T225" s="319"/>
      <c r="U225" s="319"/>
      <c r="V225" s="319"/>
      <c r="W225" s="319"/>
      <c r="X225" s="319"/>
      <c r="Y225" s="319"/>
      <c r="Z225" s="316" t="str">
        <f>IF(Y225="Yes","Please ensure the UI has been upgraded","")</f>
        <v/>
      </c>
    </row>
    <row r="226" spans="2:26" s="308" customFormat="1" ht="15.75" customHeight="1">
      <c r="B226" s="322"/>
      <c r="C226" s="315" t="s">
        <v>309</v>
      </c>
      <c r="D226" s="315">
        <f>B226</f>
        <v>0</v>
      </c>
      <c r="E226" s="322" t="s">
        <v>309</v>
      </c>
      <c r="F226" s="315" t="str">
        <f>IF(B226="","",B226)</f>
        <v/>
      </c>
      <c r="G226" s="323"/>
      <c r="H226" s="322"/>
      <c r="I226" s="315"/>
      <c r="J226" s="315"/>
      <c r="K226" s="322"/>
      <c r="L226" s="315"/>
      <c r="M226" s="313"/>
      <c r="N226" s="319" t="s">
        <v>16</v>
      </c>
      <c r="O226" s="319" t="s">
        <v>16</v>
      </c>
      <c r="P226" s="321"/>
      <c r="Q226" s="320"/>
      <c r="R226" s="313"/>
      <c r="S226" s="319"/>
      <c r="T226" s="319"/>
      <c r="U226" s="319"/>
      <c r="V226" s="319"/>
      <c r="W226" s="319"/>
      <c r="X226" s="319"/>
      <c r="Y226" s="319"/>
      <c r="Z226" s="316" t="str">
        <f>IF(Y226="Yes","Please ensure the UI has been upgraded","")</f>
        <v/>
      </c>
    </row>
    <row r="227" spans="2:26" s="308" customFormat="1" ht="15.75" customHeight="1">
      <c r="B227" s="322"/>
      <c r="C227" s="315" t="s">
        <v>309</v>
      </c>
      <c r="D227" s="315">
        <f>B227</f>
        <v>0</v>
      </c>
      <c r="E227" s="322" t="s">
        <v>309</v>
      </c>
      <c r="F227" s="315" t="str">
        <f>IF(B227="","",B227)</f>
        <v/>
      </c>
      <c r="G227" s="323"/>
      <c r="H227" s="322"/>
      <c r="I227" s="315"/>
      <c r="J227" s="315"/>
      <c r="K227" s="322"/>
      <c r="L227" s="315"/>
      <c r="M227" s="313"/>
      <c r="N227" s="319" t="s">
        <v>16</v>
      </c>
      <c r="O227" s="319" t="s">
        <v>16</v>
      </c>
      <c r="P227" s="321"/>
      <c r="Q227" s="320"/>
      <c r="R227" s="313"/>
      <c r="S227" s="319"/>
      <c r="T227" s="319"/>
      <c r="U227" s="319"/>
      <c r="V227" s="319"/>
      <c r="W227" s="319"/>
      <c r="X227" s="319"/>
      <c r="Y227" s="319"/>
      <c r="Z227" s="316" t="str">
        <f>IF(Y227="Yes","Please ensure the UI has been upgraded","")</f>
        <v/>
      </c>
    </row>
    <row r="228" spans="2:26" s="308" customFormat="1" ht="15.75" customHeight="1">
      <c r="B228" s="322"/>
      <c r="C228" s="315" t="s">
        <v>309</v>
      </c>
      <c r="D228" s="315">
        <f>B228</f>
        <v>0</v>
      </c>
      <c r="E228" s="322" t="s">
        <v>309</v>
      </c>
      <c r="F228" s="315" t="str">
        <f>IF(B228="","",B228)</f>
        <v/>
      </c>
      <c r="G228" s="323"/>
      <c r="H228" s="322"/>
      <c r="I228" s="315"/>
      <c r="J228" s="315"/>
      <c r="K228" s="322"/>
      <c r="L228" s="315"/>
      <c r="M228" s="313"/>
      <c r="N228" s="319" t="s">
        <v>16</v>
      </c>
      <c r="O228" s="319" t="s">
        <v>16</v>
      </c>
      <c r="P228" s="321"/>
      <c r="Q228" s="320"/>
      <c r="R228" s="313"/>
      <c r="S228" s="319"/>
      <c r="T228" s="319"/>
      <c r="U228" s="319"/>
      <c r="V228" s="319"/>
      <c r="W228" s="319"/>
      <c r="X228" s="319"/>
      <c r="Y228" s="319"/>
      <c r="Z228" s="316" t="str">
        <f>IF(Y228="Yes","Please ensure the UI has been upgraded","")</f>
        <v/>
      </c>
    </row>
    <row r="229" spans="2:26" s="308" customFormat="1" ht="15.75" customHeight="1">
      <c r="B229" s="322"/>
      <c r="C229" s="315" t="s">
        <v>309</v>
      </c>
      <c r="D229" s="315">
        <f>B229</f>
        <v>0</v>
      </c>
      <c r="E229" s="322" t="s">
        <v>309</v>
      </c>
      <c r="F229" s="315" t="str">
        <f>IF(B229="","",B229)</f>
        <v/>
      </c>
      <c r="G229" s="323"/>
      <c r="H229" s="322"/>
      <c r="I229" s="315"/>
      <c r="J229" s="315"/>
      <c r="K229" s="322"/>
      <c r="L229" s="315"/>
      <c r="M229" s="313"/>
      <c r="N229" s="319" t="s">
        <v>16</v>
      </c>
      <c r="O229" s="319" t="s">
        <v>16</v>
      </c>
      <c r="P229" s="321"/>
      <c r="Q229" s="320"/>
      <c r="R229" s="313"/>
      <c r="S229" s="319"/>
      <c r="T229" s="319"/>
      <c r="U229" s="319"/>
      <c r="V229" s="319"/>
      <c r="W229" s="319"/>
      <c r="X229" s="319"/>
      <c r="Y229" s="319"/>
      <c r="Z229" s="316" t="str">
        <f>IF(Y229="Yes","Please ensure the UI has been upgraded","")</f>
        <v/>
      </c>
    </row>
    <row r="230" spans="2:26" s="308" customFormat="1" ht="15.75" customHeight="1">
      <c r="B230" s="322"/>
      <c r="C230" s="315" t="s">
        <v>309</v>
      </c>
      <c r="D230" s="315">
        <f>B230</f>
        <v>0</v>
      </c>
      <c r="E230" s="322" t="s">
        <v>309</v>
      </c>
      <c r="F230" s="315" t="str">
        <f>IF(B230="","",B230)</f>
        <v/>
      </c>
      <c r="G230" s="323"/>
      <c r="H230" s="322"/>
      <c r="I230" s="315"/>
      <c r="J230" s="315"/>
      <c r="K230" s="322"/>
      <c r="L230" s="315"/>
      <c r="M230" s="313"/>
      <c r="N230" s="319" t="s">
        <v>16</v>
      </c>
      <c r="O230" s="319" t="s">
        <v>16</v>
      </c>
      <c r="P230" s="321"/>
      <c r="Q230" s="320"/>
      <c r="R230" s="313"/>
      <c r="S230" s="319"/>
      <c r="T230" s="319"/>
      <c r="U230" s="319"/>
      <c r="V230" s="319"/>
      <c r="W230" s="319"/>
      <c r="X230" s="319"/>
      <c r="Y230" s="319"/>
      <c r="Z230" s="316" t="str">
        <f>IF(Y230="Yes","Please ensure the UI has been upgraded","")</f>
        <v/>
      </c>
    </row>
    <row r="231" spans="2:26" s="308" customFormat="1" ht="15.75" customHeight="1">
      <c r="B231" s="322"/>
      <c r="C231" s="315" t="s">
        <v>309</v>
      </c>
      <c r="D231" s="315">
        <f>B231</f>
        <v>0</v>
      </c>
      <c r="E231" s="322" t="s">
        <v>309</v>
      </c>
      <c r="F231" s="315" t="str">
        <f>IF(B231="","",B231)</f>
        <v/>
      </c>
      <c r="G231" s="323"/>
      <c r="H231" s="322"/>
      <c r="I231" s="315"/>
      <c r="J231" s="315"/>
      <c r="K231" s="322"/>
      <c r="L231" s="315"/>
      <c r="M231" s="313"/>
      <c r="N231" s="319" t="s">
        <v>16</v>
      </c>
      <c r="O231" s="319" t="s">
        <v>16</v>
      </c>
      <c r="P231" s="321"/>
      <c r="Q231" s="320"/>
      <c r="R231" s="313"/>
      <c r="S231" s="319"/>
      <c r="T231" s="319"/>
      <c r="U231" s="319"/>
      <c r="V231" s="319"/>
      <c r="W231" s="319"/>
      <c r="X231" s="319"/>
      <c r="Y231" s="319"/>
      <c r="Z231" s="316" t="str">
        <f>IF(Y231="Yes","Please ensure the UI has been upgraded","")</f>
        <v/>
      </c>
    </row>
    <row r="232" spans="2:26" s="308" customFormat="1" ht="15.75" customHeight="1">
      <c r="B232" s="322"/>
      <c r="C232" s="315" t="s">
        <v>309</v>
      </c>
      <c r="D232" s="315">
        <f>B232</f>
        <v>0</v>
      </c>
      <c r="E232" s="322" t="s">
        <v>309</v>
      </c>
      <c r="F232" s="315" t="str">
        <f>IF(B232="","",B232)</f>
        <v/>
      </c>
      <c r="G232" s="323"/>
      <c r="H232" s="322"/>
      <c r="I232" s="315"/>
      <c r="J232" s="315"/>
      <c r="K232" s="322"/>
      <c r="L232" s="315"/>
      <c r="M232" s="313"/>
      <c r="N232" s="319" t="s">
        <v>16</v>
      </c>
      <c r="O232" s="319" t="s">
        <v>16</v>
      </c>
      <c r="P232" s="321"/>
      <c r="Q232" s="320"/>
      <c r="R232" s="313"/>
      <c r="S232" s="319"/>
      <c r="T232" s="319"/>
      <c r="U232" s="319"/>
      <c r="V232" s="319"/>
      <c r="W232" s="319"/>
      <c r="X232" s="319"/>
      <c r="Y232" s="319"/>
      <c r="Z232" s="316" t="str">
        <f>IF(Y232="Yes","Please ensure the UI has been upgraded","")</f>
        <v/>
      </c>
    </row>
    <row r="233" spans="2:26" s="308" customFormat="1" ht="15.75" customHeight="1">
      <c r="B233" s="322"/>
      <c r="C233" s="315" t="s">
        <v>309</v>
      </c>
      <c r="D233" s="315">
        <f>B233</f>
        <v>0</v>
      </c>
      <c r="E233" s="322" t="s">
        <v>309</v>
      </c>
      <c r="F233" s="315" t="str">
        <f>IF(B233="","",B233)</f>
        <v/>
      </c>
      <c r="G233" s="323"/>
      <c r="H233" s="322"/>
      <c r="I233" s="315"/>
      <c r="J233" s="315"/>
      <c r="K233" s="322"/>
      <c r="L233" s="315"/>
      <c r="M233" s="313"/>
      <c r="N233" s="319" t="s">
        <v>16</v>
      </c>
      <c r="O233" s="319" t="s">
        <v>16</v>
      </c>
      <c r="P233" s="321"/>
      <c r="Q233" s="320"/>
      <c r="R233" s="313"/>
      <c r="S233" s="319"/>
      <c r="T233" s="319"/>
      <c r="U233" s="319"/>
      <c r="V233" s="319"/>
      <c r="W233" s="319"/>
      <c r="X233" s="319"/>
      <c r="Y233" s="319"/>
      <c r="Z233" s="316"/>
    </row>
    <row r="234" spans="2:26" s="308" customFormat="1" ht="15.75" customHeight="1">
      <c r="B234" s="322"/>
      <c r="C234" s="315" t="s">
        <v>309</v>
      </c>
      <c r="D234" s="315">
        <f>B234</f>
        <v>0</v>
      </c>
      <c r="E234" s="322" t="s">
        <v>309</v>
      </c>
      <c r="F234" s="315" t="str">
        <f>IF(B234="","",B234)</f>
        <v/>
      </c>
      <c r="G234" s="323"/>
      <c r="H234" s="322"/>
      <c r="I234" s="315"/>
      <c r="J234" s="315"/>
      <c r="K234" s="322"/>
      <c r="L234" s="315"/>
      <c r="M234" s="313"/>
      <c r="N234" s="319" t="s">
        <v>16</v>
      </c>
      <c r="O234" s="319" t="s">
        <v>16</v>
      </c>
      <c r="P234" s="321"/>
      <c r="Q234" s="320"/>
      <c r="R234" s="313"/>
      <c r="S234" s="319"/>
      <c r="T234" s="319"/>
      <c r="U234" s="319"/>
      <c r="V234" s="319"/>
      <c r="W234" s="319"/>
      <c r="X234" s="319"/>
      <c r="Y234" s="319"/>
      <c r="Z234" s="316"/>
    </row>
    <row r="235" spans="2:26" s="308" customFormat="1" ht="15.75" customHeight="1">
      <c r="B235" s="322"/>
      <c r="C235" s="315" t="s">
        <v>309</v>
      </c>
      <c r="D235" s="315">
        <f>B235</f>
        <v>0</v>
      </c>
      <c r="E235" s="322" t="s">
        <v>309</v>
      </c>
      <c r="F235" s="315" t="str">
        <f>IF(B235="","",B235)</f>
        <v/>
      </c>
      <c r="G235" s="323"/>
      <c r="H235" s="322"/>
      <c r="I235" s="315"/>
      <c r="J235" s="315"/>
      <c r="K235" s="322"/>
      <c r="L235" s="315"/>
      <c r="M235" s="313"/>
      <c r="N235" s="319" t="s">
        <v>16</v>
      </c>
      <c r="O235" s="319" t="s">
        <v>16</v>
      </c>
      <c r="P235" s="321"/>
      <c r="Q235" s="320"/>
      <c r="R235" s="313"/>
      <c r="S235" s="319"/>
      <c r="T235" s="319"/>
      <c r="U235" s="319"/>
      <c r="V235" s="319"/>
      <c r="W235" s="319"/>
      <c r="X235" s="319"/>
      <c r="Y235" s="319"/>
      <c r="Z235" s="316" t="str">
        <f>IF(Y235="Yes","Please ensure the UI has been upgraded","")</f>
        <v/>
      </c>
    </row>
    <row r="236" spans="2:26" s="308" customFormat="1" ht="15.75" customHeight="1">
      <c r="B236" s="322"/>
      <c r="C236" s="315" t="s">
        <v>309</v>
      </c>
      <c r="D236" s="315">
        <f>B236</f>
        <v>0</v>
      </c>
      <c r="E236" s="322" t="s">
        <v>309</v>
      </c>
      <c r="F236" s="315" t="str">
        <f>IF(B236="","",B236)</f>
        <v/>
      </c>
      <c r="G236" s="323"/>
      <c r="H236" s="322"/>
      <c r="I236" s="315"/>
      <c r="J236" s="315"/>
      <c r="K236" s="322"/>
      <c r="L236" s="315"/>
      <c r="M236" s="313"/>
      <c r="N236" s="319" t="s">
        <v>16</v>
      </c>
      <c r="O236" s="319" t="s">
        <v>16</v>
      </c>
      <c r="P236" s="321"/>
      <c r="Q236" s="320"/>
      <c r="R236" s="313"/>
      <c r="S236" s="319"/>
      <c r="T236" s="319"/>
      <c r="U236" s="319"/>
      <c r="V236" s="319"/>
      <c r="W236" s="319"/>
      <c r="X236" s="319"/>
      <c r="Y236" s="319"/>
      <c r="Z236" s="316" t="str">
        <f>IF(Y236="Yes","Please ensure the UI has been upgraded","")</f>
        <v/>
      </c>
    </row>
    <row r="237" spans="2:26" s="308" customFormat="1" ht="15.75" customHeight="1">
      <c r="B237" s="322"/>
      <c r="C237" s="315" t="s">
        <v>309</v>
      </c>
      <c r="D237" s="315">
        <f>B237</f>
        <v>0</v>
      </c>
      <c r="E237" s="322" t="s">
        <v>309</v>
      </c>
      <c r="F237" s="315" t="str">
        <f>IF(B237="","",B237)</f>
        <v/>
      </c>
      <c r="G237" s="323"/>
      <c r="H237" s="322"/>
      <c r="I237" s="315"/>
      <c r="J237" s="315"/>
      <c r="K237" s="322"/>
      <c r="L237" s="315"/>
      <c r="M237" s="313"/>
      <c r="N237" s="319" t="s">
        <v>16</v>
      </c>
      <c r="O237" s="319" t="s">
        <v>16</v>
      </c>
      <c r="P237" s="321"/>
      <c r="Q237" s="320"/>
      <c r="R237" s="313"/>
      <c r="S237" s="319"/>
      <c r="T237" s="319"/>
      <c r="U237" s="319"/>
      <c r="V237" s="319"/>
      <c r="W237" s="319"/>
      <c r="X237" s="319"/>
      <c r="Y237" s="319"/>
      <c r="Z237" s="316" t="str">
        <f>IF(Y237="Yes","Please ensure the UI has been upgraded","")</f>
        <v/>
      </c>
    </row>
    <row r="238" spans="2:26" s="308" customFormat="1" ht="15.75" customHeight="1">
      <c r="B238" s="322"/>
      <c r="C238" s="315" t="s">
        <v>309</v>
      </c>
      <c r="D238" s="315">
        <f>B238</f>
        <v>0</v>
      </c>
      <c r="E238" s="322" t="s">
        <v>309</v>
      </c>
      <c r="F238" s="315" t="str">
        <f>IF(B238="","",B238)</f>
        <v/>
      </c>
      <c r="G238" s="323"/>
      <c r="H238" s="322"/>
      <c r="I238" s="315"/>
      <c r="J238" s="315"/>
      <c r="K238" s="322"/>
      <c r="L238" s="315"/>
      <c r="M238" s="313"/>
      <c r="N238" s="319" t="s">
        <v>16</v>
      </c>
      <c r="O238" s="319" t="s">
        <v>16</v>
      </c>
      <c r="P238" s="321"/>
      <c r="Q238" s="320"/>
      <c r="R238" s="313"/>
      <c r="S238" s="319"/>
      <c r="T238" s="319"/>
      <c r="U238" s="319"/>
      <c r="V238" s="319"/>
      <c r="W238" s="319"/>
      <c r="X238" s="319"/>
      <c r="Y238" s="319"/>
      <c r="Z238" s="316" t="str">
        <f>IF(Y238="Yes","Please ensure the UI has been upgraded","")</f>
        <v/>
      </c>
    </row>
    <row r="239" spans="2:26" s="308" customFormat="1" ht="15.75" customHeight="1">
      <c r="B239" s="322"/>
      <c r="C239" s="315" t="s">
        <v>309</v>
      </c>
      <c r="D239" s="315">
        <f>B239</f>
        <v>0</v>
      </c>
      <c r="E239" s="322" t="s">
        <v>309</v>
      </c>
      <c r="F239" s="315" t="str">
        <f>IF(B239="","",B239)</f>
        <v/>
      </c>
      <c r="G239" s="323"/>
      <c r="H239" s="322"/>
      <c r="I239" s="315"/>
      <c r="J239" s="315"/>
      <c r="K239" s="322"/>
      <c r="L239" s="315"/>
      <c r="M239" s="313"/>
      <c r="N239" s="319" t="s">
        <v>16</v>
      </c>
      <c r="O239" s="319" t="s">
        <v>16</v>
      </c>
      <c r="P239" s="321"/>
      <c r="Q239" s="320"/>
      <c r="R239" s="313"/>
      <c r="S239" s="319"/>
      <c r="T239" s="319"/>
      <c r="U239" s="319"/>
      <c r="V239" s="319"/>
      <c r="W239" s="319"/>
      <c r="X239" s="319"/>
      <c r="Y239" s="319"/>
      <c r="Z239" s="316" t="str">
        <f>IF(Y239="Yes","Please ensure the UI has been upgraded","")</f>
        <v/>
      </c>
    </row>
    <row r="240" spans="2:26" s="308" customFormat="1" ht="15.75" customHeight="1">
      <c r="B240" s="322"/>
      <c r="C240" s="315" t="s">
        <v>309</v>
      </c>
      <c r="D240" s="315">
        <f>B240</f>
        <v>0</v>
      </c>
      <c r="E240" s="322" t="s">
        <v>309</v>
      </c>
      <c r="F240" s="315" t="str">
        <f>IF(B240="","",B240)</f>
        <v/>
      </c>
      <c r="G240" s="323"/>
      <c r="H240" s="322"/>
      <c r="I240" s="315"/>
      <c r="J240" s="315"/>
      <c r="K240" s="322"/>
      <c r="L240" s="315"/>
      <c r="M240" s="313"/>
      <c r="N240" s="319" t="s">
        <v>16</v>
      </c>
      <c r="O240" s="319" t="s">
        <v>16</v>
      </c>
      <c r="P240" s="321"/>
      <c r="Q240" s="320"/>
      <c r="R240" s="313"/>
      <c r="S240" s="319"/>
      <c r="T240" s="319"/>
      <c r="U240" s="319"/>
      <c r="V240" s="319"/>
      <c r="W240" s="319"/>
      <c r="X240" s="319"/>
      <c r="Y240" s="319"/>
      <c r="Z240" s="316" t="str">
        <f>IF(Y240="Yes","Please ensure the UI has been upgraded","")</f>
        <v/>
      </c>
    </row>
    <row r="241" spans="2:26" s="308" customFormat="1" ht="15.75" customHeight="1">
      <c r="B241" s="322"/>
      <c r="C241" s="315" t="s">
        <v>309</v>
      </c>
      <c r="D241" s="315">
        <f>B241</f>
        <v>0</v>
      </c>
      <c r="E241" s="322" t="s">
        <v>309</v>
      </c>
      <c r="F241" s="315" t="str">
        <f>IF(B241="","",B241)</f>
        <v/>
      </c>
      <c r="G241" s="323"/>
      <c r="H241" s="322"/>
      <c r="I241" s="315"/>
      <c r="J241" s="315"/>
      <c r="K241" s="322"/>
      <c r="L241" s="315"/>
      <c r="M241" s="313"/>
      <c r="N241" s="319" t="s">
        <v>16</v>
      </c>
      <c r="O241" s="319" t="s">
        <v>16</v>
      </c>
      <c r="P241" s="321"/>
      <c r="Q241" s="320"/>
      <c r="R241" s="313"/>
      <c r="S241" s="319"/>
      <c r="T241" s="319"/>
      <c r="U241" s="319"/>
      <c r="V241" s="319"/>
      <c r="W241" s="319"/>
      <c r="X241" s="319"/>
      <c r="Y241" s="319"/>
      <c r="Z241" s="316" t="str">
        <f>IF(Y241="Yes","Please ensure the UI has been upgraded","")</f>
        <v/>
      </c>
    </row>
    <row r="242" spans="2:26" s="308" customFormat="1" ht="15.75" customHeight="1">
      <c r="B242" s="322"/>
      <c r="C242" s="315" t="s">
        <v>309</v>
      </c>
      <c r="D242" s="315">
        <f>B242</f>
        <v>0</v>
      </c>
      <c r="E242" s="322" t="s">
        <v>309</v>
      </c>
      <c r="F242" s="315" t="str">
        <f>IF(B242="","",B242)</f>
        <v/>
      </c>
      <c r="G242" s="323"/>
      <c r="H242" s="322"/>
      <c r="I242" s="315"/>
      <c r="J242" s="315"/>
      <c r="K242" s="322"/>
      <c r="L242" s="315"/>
      <c r="M242" s="313"/>
      <c r="N242" s="319" t="s">
        <v>16</v>
      </c>
      <c r="O242" s="319" t="s">
        <v>16</v>
      </c>
      <c r="P242" s="321"/>
      <c r="Q242" s="320"/>
      <c r="R242" s="313"/>
      <c r="S242" s="319"/>
      <c r="T242" s="319"/>
      <c r="U242" s="319"/>
      <c r="V242" s="319"/>
      <c r="W242" s="319"/>
      <c r="X242" s="319"/>
      <c r="Y242" s="319"/>
      <c r="Z242" s="316" t="str">
        <f>IF(Y242="Yes","Please ensure the UI has been upgraded","")</f>
        <v/>
      </c>
    </row>
    <row r="243" spans="2:26" s="308" customFormat="1" ht="15.75" customHeight="1">
      <c r="B243" s="322"/>
      <c r="C243" s="315" t="s">
        <v>309</v>
      </c>
      <c r="D243" s="315">
        <f>B243</f>
        <v>0</v>
      </c>
      <c r="E243" s="322" t="s">
        <v>309</v>
      </c>
      <c r="F243" s="315" t="str">
        <f>IF(B243="","",B243)</f>
        <v/>
      </c>
      <c r="G243" s="323"/>
      <c r="H243" s="322"/>
      <c r="I243" s="315"/>
      <c r="J243" s="315"/>
      <c r="K243" s="322"/>
      <c r="L243" s="315"/>
      <c r="M243" s="313"/>
      <c r="N243" s="319" t="s">
        <v>16</v>
      </c>
      <c r="O243" s="319" t="s">
        <v>16</v>
      </c>
      <c r="P243" s="321"/>
      <c r="Q243" s="320"/>
      <c r="R243" s="313"/>
      <c r="S243" s="319"/>
      <c r="T243" s="319"/>
      <c r="U243" s="319"/>
      <c r="V243" s="319"/>
      <c r="W243" s="319"/>
      <c r="X243" s="319"/>
      <c r="Y243" s="319"/>
      <c r="Z243" s="316" t="str">
        <f>IF(Y243="Yes","Please ensure the UI has been upgraded","")</f>
        <v/>
      </c>
    </row>
    <row r="244" spans="2:26" s="308" customFormat="1" ht="15.75" customHeight="1">
      <c r="B244" s="322"/>
      <c r="C244" s="315" t="s">
        <v>309</v>
      </c>
      <c r="D244" s="315">
        <f>B244</f>
        <v>0</v>
      </c>
      <c r="E244" s="322" t="s">
        <v>309</v>
      </c>
      <c r="F244" s="315" t="str">
        <f>IF(B244="","",B244)</f>
        <v/>
      </c>
      <c r="G244" s="323"/>
      <c r="H244" s="322"/>
      <c r="I244" s="315"/>
      <c r="J244" s="315"/>
      <c r="K244" s="322"/>
      <c r="L244" s="315"/>
      <c r="M244" s="313"/>
      <c r="N244" s="319" t="s">
        <v>16</v>
      </c>
      <c r="O244" s="319" t="s">
        <v>16</v>
      </c>
      <c r="P244" s="321"/>
      <c r="Q244" s="320"/>
      <c r="R244" s="313"/>
      <c r="S244" s="319"/>
      <c r="T244" s="319"/>
      <c r="U244" s="319"/>
      <c r="V244" s="319"/>
      <c r="W244" s="319"/>
      <c r="X244" s="319"/>
      <c r="Y244" s="319"/>
      <c r="Z244" s="316" t="str">
        <f>IF(Y244="Yes","Please ensure the UI has been upgraded","")</f>
        <v/>
      </c>
    </row>
    <row r="245" spans="2:26" s="308" customFormat="1" ht="15.75" customHeight="1">
      <c r="B245" s="322"/>
      <c r="C245" s="315" t="s">
        <v>309</v>
      </c>
      <c r="D245" s="315">
        <f>B245</f>
        <v>0</v>
      </c>
      <c r="E245" s="322" t="s">
        <v>309</v>
      </c>
      <c r="F245" s="315" t="str">
        <f>IF(B245="","",B245)</f>
        <v/>
      </c>
      <c r="G245" s="323"/>
      <c r="H245" s="322"/>
      <c r="I245" s="315"/>
      <c r="J245" s="315"/>
      <c r="K245" s="322"/>
      <c r="L245" s="315"/>
      <c r="M245" s="313"/>
      <c r="N245" s="319" t="s">
        <v>16</v>
      </c>
      <c r="O245" s="319" t="s">
        <v>16</v>
      </c>
      <c r="P245" s="321"/>
      <c r="Q245" s="320"/>
      <c r="R245" s="313"/>
      <c r="S245" s="319"/>
      <c r="T245" s="319"/>
      <c r="U245" s="319"/>
      <c r="V245" s="319"/>
      <c r="W245" s="319"/>
      <c r="X245" s="319"/>
      <c r="Y245" s="319"/>
      <c r="Z245" s="316" t="str">
        <f>IF(Y245="Yes","Please ensure the UI has been upgraded","")</f>
        <v/>
      </c>
    </row>
    <row r="246" spans="2:26" s="308" customFormat="1" ht="15.75" customHeight="1">
      <c r="B246" s="322"/>
      <c r="C246" s="315" t="s">
        <v>309</v>
      </c>
      <c r="D246" s="315">
        <f>B246</f>
        <v>0</v>
      </c>
      <c r="E246" s="322" t="s">
        <v>309</v>
      </c>
      <c r="F246" s="315" t="str">
        <f>IF(B246="","",B246)</f>
        <v/>
      </c>
      <c r="G246" s="323"/>
      <c r="H246" s="322"/>
      <c r="I246" s="315"/>
      <c r="J246" s="315"/>
      <c r="K246" s="322"/>
      <c r="L246" s="315"/>
      <c r="M246" s="313"/>
      <c r="N246" s="319" t="s">
        <v>16</v>
      </c>
      <c r="O246" s="319" t="s">
        <v>16</v>
      </c>
      <c r="P246" s="321"/>
      <c r="Q246" s="320"/>
      <c r="R246" s="313"/>
      <c r="S246" s="319"/>
      <c r="T246" s="319"/>
      <c r="U246" s="319"/>
      <c r="V246" s="319"/>
      <c r="W246" s="319"/>
      <c r="X246" s="319"/>
      <c r="Y246" s="319"/>
      <c r="Z246" s="316" t="str">
        <f>IF(Y246="Yes","Please ensure the UI has been upgraded","")</f>
        <v/>
      </c>
    </row>
    <row r="247" spans="2:26" s="308" customFormat="1" ht="15.75" customHeight="1">
      <c r="B247" s="322"/>
      <c r="C247" s="315" t="s">
        <v>309</v>
      </c>
      <c r="D247" s="315">
        <f>B247</f>
        <v>0</v>
      </c>
      <c r="E247" s="322" t="s">
        <v>309</v>
      </c>
      <c r="F247" s="315" t="str">
        <f>IF(B247="","",B247)</f>
        <v/>
      </c>
      <c r="G247" s="323"/>
      <c r="H247" s="322"/>
      <c r="I247" s="315"/>
      <c r="J247" s="315"/>
      <c r="K247" s="322"/>
      <c r="L247" s="315"/>
      <c r="M247" s="313"/>
      <c r="N247" s="319" t="s">
        <v>16</v>
      </c>
      <c r="O247" s="319" t="s">
        <v>16</v>
      </c>
      <c r="P247" s="321"/>
      <c r="Q247" s="320"/>
      <c r="R247" s="313"/>
      <c r="S247" s="319"/>
      <c r="T247" s="319"/>
      <c r="U247" s="319"/>
      <c r="V247" s="319"/>
      <c r="W247" s="319"/>
      <c r="X247" s="319"/>
      <c r="Y247" s="319"/>
      <c r="Z247" s="316" t="str">
        <f>IF(Y247="Yes","Please ensure the UI has been upgraded","")</f>
        <v/>
      </c>
    </row>
    <row r="248" spans="2:26" s="308" customFormat="1" ht="15.75" customHeight="1">
      <c r="B248" s="322"/>
      <c r="C248" s="315" t="s">
        <v>309</v>
      </c>
      <c r="D248" s="315">
        <f>B248</f>
        <v>0</v>
      </c>
      <c r="E248" s="322" t="s">
        <v>309</v>
      </c>
      <c r="F248" s="315" t="str">
        <f>IF(B248="","",B248)</f>
        <v/>
      </c>
      <c r="G248" s="323"/>
      <c r="H248" s="322"/>
      <c r="I248" s="315"/>
      <c r="J248" s="315"/>
      <c r="K248" s="322"/>
      <c r="L248" s="315"/>
      <c r="M248" s="313"/>
      <c r="N248" s="319" t="s">
        <v>16</v>
      </c>
      <c r="O248" s="319" t="s">
        <v>16</v>
      </c>
      <c r="P248" s="321"/>
      <c r="Q248" s="320"/>
      <c r="R248" s="313"/>
      <c r="S248" s="319"/>
      <c r="T248" s="319"/>
      <c r="U248" s="319"/>
      <c r="V248" s="319"/>
      <c r="W248" s="319"/>
      <c r="X248" s="319"/>
      <c r="Y248" s="319"/>
      <c r="Z248" s="316" t="str">
        <f>IF(Y248="Yes","Please ensure the UI has been upgraded","")</f>
        <v/>
      </c>
    </row>
    <row r="249" spans="2:26" s="308" customFormat="1" ht="15.75" customHeight="1">
      <c r="B249" s="322"/>
      <c r="C249" s="315" t="s">
        <v>309</v>
      </c>
      <c r="D249" s="315">
        <f>B249</f>
        <v>0</v>
      </c>
      <c r="E249" s="322" t="s">
        <v>309</v>
      </c>
      <c r="F249" s="315" t="str">
        <f>IF(B249="","",B249)</f>
        <v/>
      </c>
      <c r="G249" s="323"/>
      <c r="H249" s="322"/>
      <c r="I249" s="315"/>
      <c r="J249" s="315"/>
      <c r="K249" s="322"/>
      <c r="L249" s="315"/>
      <c r="M249" s="313"/>
      <c r="N249" s="319" t="s">
        <v>16</v>
      </c>
      <c r="O249" s="319" t="s">
        <v>16</v>
      </c>
      <c r="P249" s="321"/>
      <c r="Q249" s="320"/>
      <c r="R249" s="313"/>
      <c r="S249" s="319"/>
      <c r="T249" s="319"/>
      <c r="U249" s="319"/>
      <c r="V249" s="319"/>
      <c r="W249" s="319"/>
      <c r="X249" s="319"/>
      <c r="Y249" s="319"/>
      <c r="Z249" s="316" t="str">
        <f>IF(Y249="Yes","Please ensure the UI has been upgraded","")</f>
        <v/>
      </c>
    </row>
    <row r="250" spans="2:26" s="308" customFormat="1" ht="15.75" customHeight="1">
      <c r="B250" s="322"/>
      <c r="C250" s="315" t="s">
        <v>309</v>
      </c>
      <c r="D250" s="315">
        <f>B250</f>
        <v>0</v>
      </c>
      <c r="E250" s="322" t="s">
        <v>309</v>
      </c>
      <c r="F250" s="315" t="str">
        <f>IF(B250="","",B250)</f>
        <v/>
      </c>
      <c r="G250" s="323"/>
      <c r="H250" s="322"/>
      <c r="I250" s="315"/>
      <c r="J250" s="315"/>
      <c r="K250" s="322"/>
      <c r="L250" s="315"/>
      <c r="M250" s="313"/>
      <c r="N250" s="319" t="s">
        <v>16</v>
      </c>
      <c r="O250" s="319" t="s">
        <v>16</v>
      </c>
      <c r="P250" s="321"/>
      <c r="Q250" s="320"/>
      <c r="R250" s="313"/>
      <c r="S250" s="319"/>
      <c r="T250" s="319"/>
      <c r="U250" s="319"/>
      <c r="V250" s="319"/>
      <c r="W250" s="319"/>
      <c r="X250" s="319"/>
      <c r="Y250" s="319"/>
      <c r="Z250" s="316" t="str">
        <f>IF(Y250="Yes","Please ensure the UI has been upgraded","")</f>
        <v/>
      </c>
    </row>
    <row r="251" spans="2:26" s="308" customFormat="1" ht="15.75" customHeight="1">
      <c r="B251" s="322"/>
      <c r="C251" s="315" t="s">
        <v>309</v>
      </c>
      <c r="D251" s="315">
        <f>B251</f>
        <v>0</v>
      </c>
      <c r="E251" s="322" t="s">
        <v>309</v>
      </c>
      <c r="F251" s="315" t="str">
        <f>IF(B251="","",B251)</f>
        <v/>
      </c>
      <c r="G251" s="323"/>
      <c r="H251" s="322"/>
      <c r="I251" s="315"/>
      <c r="J251" s="315"/>
      <c r="K251" s="322"/>
      <c r="L251" s="315"/>
      <c r="M251" s="313"/>
      <c r="N251" s="319" t="s">
        <v>16</v>
      </c>
      <c r="O251" s="319" t="s">
        <v>16</v>
      </c>
      <c r="P251" s="321"/>
      <c r="Q251" s="320"/>
      <c r="R251" s="313"/>
      <c r="S251" s="319"/>
      <c r="T251" s="319"/>
      <c r="U251" s="319"/>
      <c r="V251" s="319"/>
      <c r="W251" s="319"/>
      <c r="X251" s="319"/>
      <c r="Y251" s="319"/>
      <c r="Z251" s="316" t="str">
        <f>IF(Y251="Yes","Please ensure the UI has been upgraded","")</f>
        <v/>
      </c>
    </row>
    <row r="252" spans="2:26" s="308" customFormat="1" ht="15.75" customHeight="1">
      <c r="B252" s="322"/>
      <c r="C252" s="315" t="s">
        <v>309</v>
      </c>
      <c r="D252" s="315">
        <f>B252</f>
        <v>0</v>
      </c>
      <c r="E252" s="322" t="s">
        <v>309</v>
      </c>
      <c r="F252" s="315" t="str">
        <f>IF(B252="","",B252)</f>
        <v/>
      </c>
      <c r="G252" s="323"/>
      <c r="H252" s="322"/>
      <c r="I252" s="315"/>
      <c r="J252" s="315"/>
      <c r="K252" s="322"/>
      <c r="L252" s="315"/>
      <c r="M252" s="313"/>
      <c r="N252" s="319" t="s">
        <v>16</v>
      </c>
      <c r="O252" s="319" t="s">
        <v>16</v>
      </c>
      <c r="P252" s="321"/>
      <c r="Q252" s="320"/>
      <c r="R252" s="313"/>
      <c r="S252" s="319"/>
      <c r="T252" s="319"/>
      <c r="U252" s="319"/>
      <c r="V252" s="319"/>
      <c r="W252" s="319"/>
      <c r="X252" s="319"/>
      <c r="Y252" s="319"/>
      <c r="Z252" s="316" t="str">
        <f>IF(Y252="Yes","Please ensure the UI has been upgraded","")</f>
        <v/>
      </c>
    </row>
    <row r="253" spans="2:26" s="308" customFormat="1" ht="15.75" customHeight="1">
      <c r="B253" s="322"/>
      <c r="C253" s="315" t="s">
        <v>309</v>
      </c>
      <c r="D253" s="315">
        <f>B253</f>
        <v>0</v>
      </c>
      <c r="E253" s="322" t="s">
        <v>309</v>
      </c>
      <c r="F253" s="315" t="str">
        <f>IF(B253="","",B253)</f>
        <v/>
      </c>
      <c r="G253" s="323"/>
      <c r="H253" s="322"/>
      <c r="I253" s="315"/>
      <c r="J253" s="315"/>
      <c r="K253" s="322"/>
      <c r="L253" s="315"/>
      <c r="M253" s="313"/>
      <c r="N253" s="319" t="s">
        <v>16</v>
      </c>
      <c r="O253" s="319" t="s">
        <v>16</v>
      </c>
      <c r="P253" s="321"/>
      <c r="Q253" s="320"/>
      <c r="R253" s="313"/>
      <c r="S253" s="319"/>
      <c r="T253" s="319"/>
      <c r="U253" s="319"/>
      <c r="V253" s="319"/>
      <c r="W253" s="319"/>
      <c r="X253" s="319"/>
      <c r="Y253" s="319"/>
      <c r="Z253" s="316" t="str">
        <f>IF(Y253="Yes","Please ensure the UI has been upgraded","")</f>
        <v/>
      </c>
    </row>
    <row r="254" spans="2:26" s="308" customFormat="1" ht="15.75" customHeight="1">
      <c r="B254" s="322"/>
      <c r="C254" s="315" t="s">
        <v>309</v>
      </c>
      <c r="D254" s="315">
        <f>B254</f>
        <v>0</v>
      </c>
      <c r="E254" s="322" t="s">
        <v>309</v>
      </c>
      <c r="F254" s="315" t="str">
        <f>IF(B254="","",B254)</f>
        <v/>
      </c>
      <c r="G254" s="323"/>
      <c r="H254" s="322"/>
      <c r="I254" s="315"/>
      <c r="J254" s="315"/>
      <c r="K254" s="322"/>
      <c r="L254" s="315"/>
      <c r="M254" s="313"/>
      <c r="N254" s="319" t="s">
        <v>16</v>
      </c>
      <c r="O254" s="319" t="s">
        <v>16</v>
      </c>
      <c r="P254" s="321"/>
      <c r="Q254" s="320"/>
      <c r="R254" s="313"/>
      <c r="S254" s="319"/>
      <c r="T254" s="319"/>
      <c r="U254" s="319"/>
      <c r="V254" s="319"/>
      <c r="W254" s="319"/>
      <c r="X254" s="319"/>
      <c r="Y254" s="319"/>
      <c r="Z254" s="316" t="str">
        <f>IF(Y254="Yes","Please ensure the UI has been upgraded","")</f>
        <v/>
      </c>
    </row>
    <row r="255" spans="2:26" s="308" customFormat="1" ht="15.75" customHeight="1">
      <c r="B255" s="322"/>
      <c r="C255" s="315" t="s">
        <v>309</v>
      </c>
      <c r="D255" s="315">
        <f>B255</f>
        <v>0</v>
      </c>
      <c r="E255" s="322" t="s">
        <v>309</v>
      </c>
      <c r="F255" s="315" t="str">
        <f>IF(B255="","",B255)</f>
        <v/>
      </c>
      <c r="G255" s="323"/>
      <c r="H255" s="322"/>
      <c r="I255" s="315"/>
      <c r="J255" s="315"/>
      <c r="K255" s="322"/>
      <c r="L255" s="315"/>
      <c r="M255" s="313"/>
      <c r="N255" s="319" t="s">
        <v>16</v>
      </c>
      <c r="O255" s="319" t="s">
        <v>16</v>
      </c>
      <c r="P255" s="321"/>
      <c r="Q255" s="320"/>
      <c r="R255" s="313"/>
      <c r="S255" s="319"/>
      <c r="T255" s="319"/>
      <c r="U255" s="319"/>
      <c r="V255" s="319"/>
      <c r="W255" s="319"/>
      <c r="X255" s="319"/>
      <c r="Y255" s="319"/>
      <c r="Z255" s="316"/>
    </row>
    <row r="256" spans="2:26" s="308" customFormat="1" ht="15.75" customHeight="1">
      <c r="B256" s="322"/>
      <c r="C256" s="315" t="s">
        <v>309</v>
      </c>
      <c r="D256" s="315">
        <f>B256</f>
        <v>0</v>
      </c>
      <c r="E256" s="322" t="s">
        <v>309</v>
      </c>
      <c r="F256" s="315" t="str">
        <f>IF(B256="","",B256)</f>
        <v/>
      </c>
      <c r="G256" s="323"/>
      <c r="H256" s="322"/>
      <c r="I256" s="315"/>
      <c r="J256" s="315"/>
      <c r="K256" s="322"/>
      <c r="L256" s="315"/>
      <c r="M256" s="313"/>
      <c r="N256" s="319" t="s">
        <v>16</v>
      </c>
      <c r="O256" s="319" t="s">
        <v>16</v>
      </c>
      <c r="P256" s="321"/>
      <c r="Q256" s="320"/>
      <c r="R256" s="313"/>
      <c r="S256" s="319"/>
      <c r="T256" s="319"/>
      <c r="U256" s="319"/>
      <c r="V256" s="319"/>
      <c r="W256" s="319"/>
      <c r="X256" s="319"/>
      <c r="Y256" s="319"/>
      <c r="Z256" s="316"/>
    </row>
    <row r="257" spans="2:26" s="308" customFormat="1" ht="15.75" customHeight="1">
      <c r="B257" s="322"/>
      <c r="C257" s="315" t="s">
        <v>309</v>
      </c>
      <c r="D257" s="315">
        <f>B257</f>
        <v>0</v>
      </c>
      <c r="E257" s="322" t="s">
        <v>309</v>
      </c>
      <c r="F257" s="315" t="str">
        <f>IF(B257="","",B257)</f>
        <v/>
      </c>
      <c r="G257" s="323"/>
      <c r="H257" s="322"/>
      <c r="I257" s="315"/>
      <c r="J257" s="315"/>
      <c r="K257" s="322"/>
      <c r="L257" s="315"/>
      <c r="M257" s="313"/>
      <c r="N257" s="319" t="s">
        <v>16</v>
      </c>
      <c r="O257" s="319" t="s">
        <v>16</v>
      </c>
      <c r="P257" s="321"/>
      <c r="Q257" s="320"/>
      <c r="R257" s="313"/>
      <c r="S257" s="319"/>
      <c r="T257" s="319"/>
      <c r="U257" s="319"/>
      <c r="V257" s="319"/>
      <c r="W257" s="319"/>
      <c r="X257" s="319"/>
      <c r="Y257" s="319"/>
      <c r="Z257" s="316"/>
    </row>
    <row r="258" spans="2:26" s="308" customFormat="1" ht="15.75" customHeight="1">
      <c r="B258" s="322"/>
      <c r="C258" s="315" t="s">
        <v>309</v>
      </c>
      <c r="D258" s="315">
        <f>B258</f>
        <v>0</v>
      </c>
      <c r="E258" s="322" t="s">
        <v>309</v>
      </c>
      <c r="F258" s="315" t="str">
        <f>IF(B258="","",B258)</f>
        <v/>
      </c>
      <c r="G258" s="323"/>
      <c r="H258" s="322"/>
      <c r="I258" s="315"/>
      <c r="J258" s="315"/>
      <c r="K258" s="322"/>
      <c r="L258" s="315"/>
      <c r="M258" s="313"/>
      <c r="N258" s="319" t="s">
        <v>16</v>
      </c>
      <c r="O258" s="319" t="s">
        <v>16</v>
      </c>
      <c r="P258" s="321"/>
      <c r="Q258" s="320"/>
      <c r="R258" s="313"/>
      <c r="S258" s="319"/>
      <c r="T258" s="319"/>
      <c r="U258" s="319"/>
      <c r="V258" s="319"/>
      <c r="W258" s="319"/>
      <c r="X258" s="319"/>
      <c r="Y258" s="319"/>
      <c r="Z258" s="316"/>
    </row>
    <row r="259" spans="2:26" s="308" customFormat="1" ht="15.75" customHeight="1">
      <c r="B259" s="322"/>
      <c r="C259" s="315" t="s">
        <v>309</v>
      </c>
      <c r="D259" s="315">
        <f>B259</f>
        <v>0</v>
      </c>
      <c r="E259" s="322" t="s">
        <v>309</v>
      </c>
      <c r="F259" s="315" t="str">
        <f>IF(B259="","",B259)</f>
        <v/>
      </c>
      <c r="G259" s="323"/>
      <c r="H259" s="322"/>
      <c r="I259" s="315"/>
      <c r="J259" s="315"/>
      <c r="K259" s="322"/>
      <c r="L259" s="315"/>
      <c r="M259" s="313"/>
      <c r="N259" s="319" t="s">
        <v>16</v>
      </c>
      <c r="O259" s="319" t="s">
        <v>16</v>
      </c>
      <c r="P259" s="321"/>
      <c r="Q259" s="320"/>
      <c r="R259" s="313"/>
      <c r="S259" s="319"/>
      <c r="T259" s="319"/>
      <c r="U259" s="319"/>
      <c r="V259" s="319"/>
      <c r="W259" s="319"/>
      <c r="X259" s="319"/>
      <c r="Y259" s="319"/>
      <c r="Z259" s="316"/>
    </row>
    <row r="260" spans="2:26" s="308" customFormat="1" ht="15.75" customHeight="1">
      <c r="B260" s="322"/>
      <c r="C260" s="315" t="s">
        <v>309</v>
      </c>
      <c r="D260" s="315">
        <f>B260</f>
        <v>0</v>
      </c>
      <c r="E260" s="322" t="s">
        <v>309</v>
      </c>
      <c r="F260" s="315" t="str">
        <f>IF(B260="","",B260)</f>
        <v/>
      </c>
      <c r="G260" s="323"/>
      <c r="H260" s="322"/>
      <c r="I260" s="315"/>
      <c r="J260" s="315"/>
      <c r="K260" s="322"/>
      <c r="L260" s="315"/>
      <c r="M260" s="313"/>
      <c r="N260" s="319" t="s">
        <v>16</v>
      </c>
      <c r="O260" s="319" t="s">
        <v>16</v>
      </c>
      <c r="P260" s="321"/>
      <c r="Q260" s="320"/>
      <c r="R260" s="313"/>
      <c r="S260" s="319"/>
      <c r="T260" s="319"/>
      <c r="U260" s="319"/>
      <c r="V260" s="319"/>
      <c r="W260" s="319"/>
      <c r="X260" s="319"/>
      <c r="Y260" s="319"/>
      <c r="Z260" s="316" t="str">
        <f>IF(Y260="Yes","Please ensure the UI has been upgraded","")</f>
        <v/>
      </c>
    </row>
    <row r="261" spans="2:26" s="308" customFormat="1" ht="15.75" customHeight="1">
      <c r="B261" s="322"/>
      <c r="C261" s="315" t="s">
        <v>309</v>
      </c>
      <c r="D261" s="315">
        <f>B261</f>
        <v>0</v>
      </c>
      <c r="E261" s="322" t="s">
        <v>309</v>
      </c>
      <c r="F261" s="315" t="str">
        <f>IF(B261="","",B261)</f>
        <v/>
      </c>
      <c r="G261" s="323"/>
      <c r="H261" s="322"/>
      <c r="I261" s="315"/>
      <c r="J261" s="315"/>
      <c r="K261" s="322"/>
      <c r="L261" s="315"/>
      <c r="M261" s="313"/>
      <c r="N261" s="319" t="s">
        <v>16</v>
      </c>
      <c r="O261" s="319" t="s">
        <v>16</v>
      </c>
      <c r="P261" s="321"/>
      <c r="Q261" s="320"/>
      <c r="R261" s="313"/>
      <c r="S261" s="319"/>
      <c r="T261" s="319"/>
      <c r="U261" s="319"/>
      <c r="V261" s="319"/>
      <c r="W261" s="319"/>
      <c r="X261" s="319"/>
      <c r="Y261" s="319"/>
      <c r="Z261" s="316" t="str">
        <f>IF(Y261="Yes","Please ensure the UI has been upgraded","")</f>
        <v/>
      </c>
    </row>
    <row r="262" spans="2:26" s="308" customFormat="1" ht="15.75" customHeight="1">
      <c r="B262" s="322"/>
      <c r="C262" s="315" t="s">
        <v>309</v>
      </c>
      <c r="D262" s="315">
        <f>B262</f>
        <v>0</v>
      </c>
      <c r="E262" s="322" t="s">
        <v>309</v>
      </c>
      <c r="F262" s="315" t="str">
        <f>IF(B262="","",B262)</f>
        <v/>
      </c>
      <c r="G262" s="323"/>
      <c r="H262" s="322"/>
      <c r="I262" s="315"/>
      <c r="J262" s="315"/>
      <c r="K262" s="322"/>
      <c r="L262" s="315"/>
      <c r="M262" s="313"/>
      <c r="N262" s="319" t="s">
        <v>16</v>
      </c>
      <c r="O262" s="319" t="s">
        <v>16</v>
      </c>
      <c r="P262" s="321"/>
      <c r="Q262" s="320"/>
      <c r="R262" s="313"/>
      <c r="S262" s="319"/>
      <c r="T262" s="319"/>
      <c r="U262" s="319"/>
      <c r="V262" s="319"/>
      <c r="W262" s="319"/>
      <c r="X262" s="319"/>
      <c r="Y262" s="319"/>
      <c r="Z262" s="316" t="str">
        <f>IF(Y262="Yes","Please ensure the UI has been upgraded","")</f>
        <v/>
      </c>
    </row>
    <row r="263" spans="2:26" s="308" customFormat="1" ht="15.75" customHeight="1">
      <c r="B263" s="322"/>
      <c r="C263" s="315" t="s">
        <v>309</v>
      </c>
      <c r="D263" s="315">
        <f>B263</f>
        <v>0</v>
      </c>
      <c r="E263" s="322" t="s">
        <v>309</v>
      </c>
      <c r="F263" s="315" t="str">
        <f>IF(B263="","",B263)</f>
        <v/>
      </c>
      <c r="G263" s="323"/>
      <c r="H263" s="322"/>
      <c r="I263" s="315"/>
      <c r="J263" s="315"/>
      <c r="K263" s="322"/>
      <c r="L263" s="315"/>
      <c r="M263" s="313"/>
      <c r="N263" s="319" t="s">
        <v>16</v>
      </c>
      <c r="O263" s="319" t="s">
        <v>16</v>
      </c>
      <c r="P263" s="321"/>
      <c r="Q263" s="320"/>
      <c r="R263" s="313"/>
      <c r="S263" s="319"/>
      <c r="T263" s="319"/>
      <c r="U263" s="319"/>
      <c r="V263" s="319"/>
      <c r="W263" s="319"/>
      <c r="X263" s="319"/>
      <c r="Y263" s="319"/>
      <c r="Z263" s="316" t="str">
        <f>IF(Y263="Yes","Please ensure the UI has been upgraded","")</f>
        <v/>
      </c>
    </row>
    <row r="264" spans="2:26" s="308" customFormat="1" ht="15.75" customHeight="1">
      <c r="B264" s="322"/>
      <c r="C264" s="315" t="s">
        <v>309</v>
      </c>
      <c r="D264" s="315">
        <f>B264</f>
        <v>0</v>
      </c>
      <c r="E264" s="322" t="s">
        <v>309</v>
      </c>
      <c r="F264" s="315" t="str">
        <f>IF(B264="","",B264)</f>
        <v/>
      </c>
      <c r="G264" s="323"/>
      <c r="H264" s="322"/>
      <c r="I264" s="315"/>
      <c r="J264" s="315"/>
      <c r="K264" s="322"/>
      <c r="L264" s="315"/>
      <c r="M264" s="313"/>
      <c r="N264" s="319" t="s">
        <v>16</v>
      </c>
      <c r="O264" s="319" t="s">
        <v>16</v>
      </c>
      <c r="P264" s="321"/>
      <c r="Q264" s="320"/>
      <c r="R264" s="313"/>
      <c r="S264" s="319"/>
      <c r="T264" s="319"/>
      <c r="U264" s="319"/>
      <c r="V264" s="319"/>
      <c r="W264" s="319"/>
      <c r="X264" s="319"/>
      <c r="Y264" s="319"/>
      <c r="Z264" s="316" t="str">
        <f>IF(Y264="Yes","Please ensure the UI has been upgraded","")</f>
        <v/>
      </c>
    </row>
    <row r="265" spans="2:26" s="308" customFormat="1" ht="15.75" customHeight="1">
      <c r="B265" s="322"/>
      <c r="C265" s="315" t="s">
        <v>309</v>
      </c>
      <c r="D265" s="315">
        <f>B265</f>
        <v>0</v>
      </c>
      <c r="E265" s="322" t="s">
        <v>309</v>
      </c>
      <c r="F265" s="315" t="str">
        <f>IF(B265="","",B265)</f>
        <v/>
      </c>
      <c r="G265" s="323"/>
      <c r="H265" s="322"/>
      <c r="I265" s="315"/>
      <c r="J265" s="315"/>
      <c r="K265" s="322"/>
      <c r="L265" s="315"/>
      <c r="M265" s="313"/>
      <c r="N265" s="319" t="s">
        <v>16</v>
      </c>
      <c r="O265" s="319" t="s">
        <v>16</v>
      </c>
      <c r="P265" s="321"/>
      <c r="Q265" s="320"/>
      <c r="R265" s="313"/>
      <c r="S265" s="319"/>
      <c r="T265" s="319"/>
      <c r="U265" s="319"/>
      <c r="V265" s="319"/>
      <c r="W265" s="319"/>
      <c r="X265" s="319"/>
      <c r="Y265" s="319"/>
      <c r="Z265" s="316" t="str">
        <f>IF(Y265="Yes","Please ensure the UI has been upgraded","")</f>
        <v/>
      </c>
    </row>
    <row r="266" spans="2:26" s="308" customFormat="1" ht="15.75" customHeight="1">
      <c r="B266" s="322"/>
      <c r="C266" s="315" t="s">
        <v>309</v>
      </c>
      <c r="D266" s="315">
        <f>B266</f>
        <v>0</v>
      </c>
      <c r="E266" s="322" t="s">
        <v>309</v>
      </c>
      <c r="F266" s="315" t="str">
        <f>IF(B266="","",B266)</f>
        <v/>
      </c>
      <c r="G266" s="323"/>
      <c r="H266" s="322"/>
      <c r="I266" s="315"/>
      <c r="J266" s="315"/>
      <c r="K266" s="322"/>
      <c r="L266" s="315"/>
      <c r="M266" s="313"/>
      <c r="N266" s="319" t="s">
        <v>16</v>
      </c>
      <c r="O266" s="319" t="s">
        <v>16</v>
      </c>
      <c r="P266" s="321"/>
      <c r="Q266" s="320"/>
      <c r="R266" s="313"/>
      <c r="S266" s="319"/>
      <c r="T266" s="319"/>
      <c r="U266" s="319"/>
      <c r="V266" s="319"/>
      <c r="W266" s="319"/>
      <c r="X266" s="319"/>
      <c r="Y266" s="319"/>
      <c r="Z266" s="316" t="str">
        <f>IF(Y266="Yes","Please ensure the UI has been upgraded","")</f>
        <v/>
      </c>
    </row>
    <row r="267" spans="2:26" s="308" customFormat="1" ht="15.75" customHeight="1">
      <c r="B267" s="322"/>
      <c r="C267" s="315" t="s">
        <v>309</v>
      </c>
      <c r="D267" s="315">
        <f>B267</f>
        <v>0</v>
      </c>
      <c r="E267" s="322" t="s">
        <v>309</v>
      </c>
      <c r="F267" s="315" t="str">
        <f>IF(B267="","",B267)</f>
        <v/>
      </c>
      <c r="G267" s="323"/>
      <c r="H267" s="322"/>
      <c r="I267" s="315"/>
      <c r="J267" s="315"/>
      <c r="K267" s="322"/>
      <c r="L267" s="315"/>
      <c r="M267" s="313"/>
      <c r="N267" s="319" t="s">
        <v>16</v>
      </c>
      <c r="O267" s="319" t="s">
        <v>16</v>
      </c>
      <c r="P267" s="321"/>
      <c r="Q267" s="320"/>
      <c r="R267" s="313"/>
      <c r="S267" s="319"/>
      <c r="T267" s="319"/>
      <c r="U267" s="319"/>
      <c r="V267" s="319"/>
      <c r="W267" s="319"/>
      <c r="X267" s="319"/>
      <c r="Y267" s="319"/>
      <c r="Z267" s="316" t="str">
        <f>IF(Y267="Yes","Please ensure the UI has been upgraded","")</f>
        <v/>
      </c>
    </row>
    <row r="268" spans="2:26" s="308" customFormat="1" ht="15.75" customHeight="1">
      <c r="B268" s="322"/>
      <c r="C268" s="315" t="s">
        <v>309</v>
      </c>
      <c r="D268" s="315">
        <f>B268</f>
        <v>0</v>
      </c>
      <c r="E268" s="322" t="s">
        <v>309</v>
      </c>
      <c r="F268" s="315" t="str">
        <f>IF(B268="","",B268)</f>
        <v/>
      </c>
      <c r="G268" s="323"/>
      <c r="H268" s="322"/>
      <c r="I268" s="315"/>
      <c r="J268" s="315"/>
      <c r="K268" s="322"/>
      <c r="L268" s="315"/>
      <c r="M268" s="313"/>
      <c r="N268" s="319" t="s">
        <v>16</v>
      </c>
      <c r="O268" s="319" t="s">
        <v>16</v>
      </c>
      <c r="P268" s="321"/>
      <c r="Q268" s="320"/>
      <c r="R268" s="313"/>
      <c r="S268" s="319"/>
      <c r="T268" s="319"/>
      <c r="U268" s="319"/>
      <c r="V268" s="319"/>
      <c r="W268" s="319"/>
      <c r="X268" s="319"/>
      <c r="Y268" s="319"/>
      <c r="Z268" s="316" t="str">
        <f>IF(Y268="Yes","Please ensure the UI has been upgraded","")</f>
        <v/>
      </c>
    </row>
    <row r="269" spans="2:26" s="308" customFormat="1" ht="15.75" customHeight="1">
      <c r="B269" s="322"/>
      <c r="C269" s="315" t="s">
        <v>309</v>
      </c>
      <c r="D269" s="315">
        <f>B269</f>
        <v>0</v>
      </c>
      <c r="E269" s="322" t="s">
        <v>309</v>
      </c>
      <c r="F269" s="315" t="str">
        <f>IF(B269="","",B269)</f>
        <v/>
      </c>
      <c r="G269" s="323"/>
      <c r="H269" s="322"/>
      <c r="I269" s="315"/>
      <c r="J269" s="315"/>
      <c r="K269" s="322"/>
      <c r="L269" s="315"/>
      <c r="M269" s="313"/>
      <c r="N269" s="319" t="s">
        <v>16</v>
      </c>
      <c r="O269" s="319" t="s">
        <v>16</v>
      </c>
      <c r="P269" s="321"/>
      <c r="Q269" s="320"/>
      <c r="R269" s="313"/>
      <c r="S269" s="319"/>
      <c r="T269" s="319"/>
      <c r="U269" s="319"/>
      <c r="V269" s="319"/>
      <c r="W269" s="319"/>
      <c r="X269" s="319"/>
      <c r="Y269" s="319"/>
      <c r="Z269" s="316" t="str">
        <f>IF(Y269="Yes","Please ensure the UI has been upgraded","")</f>
        <v/>
      </c>
    </row>
    <row r="270" spans="2:26" s="308" customFormat="1" ht="15.75" customHeight="1">
      <c r="B270" s="322"/>
      <c r="C270" s="315" t="s">
        <v>309</v>
      </c>
      <c r="D270" s="315">
        <f>B270</f>
        <v>0</v>
      </c>
      <c r="E270" s="322" t="s">
        <v>309</v>
      </c>
      <c r="F270" s="315" t="str">
        <f>IF(B270="","",B270)</f>
        <v/>
      </c>
      <c r="G270" s="323"/>
      <c r="H270" s="322"/>
      <c r="I270" s="315"/>
      <c r="J270" s="315"/>
      <c r="K270" s="322"/>
      <c r="L270" s="315"/>
      <c r="M270" s="313"/>
      <c r="N270" s="319" t="s">
        <v>16</v>
      </c>
      <c r="O270" s="319" t="s">
        <v>16</v>
      </c>
      <c r="P270" s="321"/>
      <c r="Q270" s="320"/>
      <c r="R270" s="313"/>
      <c r="S270" s="319"/>
      <c r="T270" s="319"/>
      <c r="U270" s="319"/>
      <c r="V270" s="319"/>
      <c r="W270" s="319"/>
      <c r="X270" s="319"/>
      <c r="Y270" s="319"/>
      <c r="Z270" s="316" t="str">
        <f>IF(Y270="Yes","Please ensure the UI has been upgraded","")</f>
        <v/>
      </c>
    </row>
    <row r="271" spans="2:26" s="308" customFormat="1" ht="15.75" customHeight="1">
      <c r="B271" s="322"/>
      <c r="C271" s="315" t="s">
        <v>309</v>
      </c>
      <c r="D271" s="315">
        <f>B271</f>
        <v>0</v>
      </c>
      <c r="E271" s="322" t="s">
        <v>309</v>
      </c>
      <c r="F271" s="315" t="str">
        <f>IF(B271="","",B271)</f>
        <v/>
      </c>
      <c r="G271" s="323"/>
      <c r="H271" s="322"/>
      <c r="I271" s="315"/>
      <c r="J271" s="315"/>
      <c r="K271" s="322"/>
      <c r="L271" s="315"/>
      <c r="M271" s="313"/>
      <c r="N271" s="319" t="s">
        <v>16</v>
      </c>
      <c r="O271" s="319" t="s">
        <v>16</v>
      </c>
      <c r="P271" s="321"/>
      <c r="Q271" s="320"/>
      <c r="R271" s="313"/>
      <c r="S271" s="319"/>
      <c r="T271" s="319"/>
      <c r="U271" s="319"/>
      <c r="V271" s="319"/>
      <c r="W271" s="319"/>
      <c r="X271" s="319"/>
      <c r="Y271" s="319"/>
      <c r="Z271" s="316" t="str">
        <f>IF(Y271="Yes","Please ensure the UI has been upgraded","")</f>
        <v/>
      </c>
    </row>
    <row r="272" spans="2:26" s="308" customFormat="1" ht="15.75" customHeight="1">
      <c r="B272" s="322"/>
      <c r="C272" s="315" t="s">
        <v>309</v>
      </c>
      <c r="D272" s="315">
        <f>B272</f>
        <v>0</v>
      </c>
      <c r="E272" s="322" t="s">
        <v>309</v>
      </c>
      <c r="F272" s="315" t="str">
        <f>IF(B272="","",B272)</f>
        <v/>
      </c>
      <c r="G272" s="323"/>
      <c r="H272" s="322"/>
      <c r="I272" s="315"/>
      <c r="J272" s="315"/>
      <c r="K272" s="322"/>
      <c r="L272" s="315"/>
      <c r="M272" s="313"/>
      <c r="N272" s="319" t="s">
        <v>16</v>
      </c>
      <c r="O272" s="319" t="s">
        <v>16</v>
      </c>
      <c r="P272" s="321"/>
      <c r="Q272" s="320"/>
      <c r="R272" s="313"/>
      <c r="S272" s="319"/>
      <c r="T272" s="319"/>
      <c r="U272" s="319"/>
      <c r="V272" s="319"/>
      <c r="W272" s="319"/>
      <c r="X272" s="319"/>
      <c r="Y272" s="319"/>
      <c r="Z272" s="316"/>
    </row>
    <row r="273" spans="2:26" s="308" customFormat="1" ht="15.75" customHeight="1">
      <c r="B273" s="322"/>
      <c r="C273" s="315" t="s">
        <v>309</v>
      </c>
      <c r="D273" s="315">
        <f>B273</f>
        <v>0</v>
      </c>
      <c r="E273" s="322" t="s">
        <v>309</v>
      </c>
      <c r="F273" s="315" t="str">
        <f>IF(B273="","",B273)</f>
        <v/>
      </c>
      <c r="G273" s="323"/>
      <c r="H273" s="322"/>
      <c r="I273" s="315"/>
      <c r="J273" s="315"/>
      <c r="K273" s="322"/>
      <c r="L273" s="315"/>
      <c r="M273" s="313"/>
      <c r="N273" s="319" t="s">
        <v>16</v>
      </c>
      <c r="O273" s="319" t="s">
        <v>16</v>
      </c>
      <c r="P273" s="321"/>
      <c r="Q273" s="320"/>
      <c r="R273" s="313"/>
      <c r="S273" s="319"/>
      <c r="T273" s="319"/>
      <c r="U273" s="319"/>
      <c r="V273" s="319"/>
      <c r="W273" s="319"/>
      <c r="X273" s="319"/>
      <c r="Y273" s="319"/>
      <c r="Z273" s="316"/>
    </row>
    <row r="274" spans="2:26" s="308" customFormat="1" ht="15.75" customHeight="1">
      <c r="B274" s="322"/>
      <c r="C274" s="315" t="s">
        <v>309</v>
      </c>
      <c r="D274" s="315">
        <f>B274</f>
        <v>0</v>
      </c>
      <c r="E274" s="322" t="s">
        <v>309</v>
      </c>
      <c r="F274" s="315" t="str">
        <f>IF(B274="","",B274)</f>
        <v/>
      </c>
      <c r="G274" s="323"/>
      <c r="H274" s="322"/>
      <c r="I274" s="315"/>
      <c r="J274" s="315"/>
      <c r="K274" s="322"/>
      <c r="L274" s="315"/>
      <c r="M274" s="313"/>
      <c r="N274" s="319" t="s">
        <v>16</v>
      </c>
      <c r="O274" s="319" t="s">
        <v>16</v>
      </c>
      <c r="P274" s="321"/>
      <c r="Q274" s="320"/>
      <c r="R274" s="313"/>
      <c r="S274" s="319"/>
      <c r="T274" s="319"/>
      <c r="U274" s="319"/>
      <c r="V274" s="319"/>
      <c r="W274" s="319"/>
      <c r="X274" s="319"/>
      <c r="Y274" s="319"/>
      <c r="Z274" s="316" t="str">
        <f>IF(Y274="Yes","Please ensure the UI has been upgraded","")</f>
        <v/>
      </c>
    </row>
    <row r="275" spans="2:26" s="308" customFormat="1" ht="15.75" customHeight="1">
      <c r="B275" s="322"/>
      <c r="C275" s="315" t="s">
        <v>309</v>
      </c>
      <c r="D275" s="315">
        <f>B275</f>
        <v>0</v>
      </c>
      <c r="E275" s="322" t="s">
        <v>309</v>
      </c>
      <c r="F275" s="315" t="str">
        <f>IF(B275="","",B275)</f>
        <v/>
      </c>
      <c r="G275" s="323"/>
      <c r="H275" s="322"/>
      <c r="I275" s="315"/>
      <c r="J275" s="315"/>
      <c r="K275" s="322"/>
      <c r="L275" s="315"/>
      <c r="M275" s="313"/>
      <c r="N275" s="319" t="s">
        <v>16</v>
      </c>
      <c r="O275" s="319" t="s">
        <v>16</v>
      </c>
      <c r="P275" s="321"/>
      <c r="Q275" s="320"/>
      <c r="R275" s="313"/>
      <c r="S275" s="319"/>
      <c r="T275" s="319"/>
      <c r="U275" s="319"/>
      <c r="V275" s="319"/>
      <c r="W275" s="319"/>
      <c r="X275" s="319"/>
      <c r="Y275" s="319"/>
      <c r="Z275" s="316" t="str">
        <f>IF(Y275="Yes","Please ensure the UI has been upgraded","")</f>
        <v/>
      </c>
    </row>
    <row r="276" spans="2:26" s="308" customFormat="1" ht="15.75" customHeight="1">
      <c r="B276" s="322"/>
      <c r="C276" s="315" t="s">
        <v>309</v>
      </c>
      <c r="D276" s="315">
        <f>B276</f>
        <v>0</v>
      </c>
      <c r="E276" s="322" t="s">
        <v>309</v>
      </c>
      <c r="F276" s="315" t="str">
        <f>IF(B276="","",B276)</f>
        <v/>
      </c>
      <c r="G276" s="323"/>
      <c r="H276" s="322"/>
      <c r="I276" s="315"/>
      <c r="J276" s="315"/>
      <c r="K276" s="322"/>
      <c r="L276" s="315"/>
      <c r="M276" s="313"/>
      <c r="N276" s="319" t="s">
        <v>16</v>
      </c>
      <c r="O276" s="319" t="s">
        <v>16</v>
      </c>
      <c r="P276" s="321"/>
      <c r="Q276" s="320"/>
      <c r="R276" s="313"/>
      <c r="S276" s="319"/>
      <c r="T276" s="319"/>
      <c r="U276" s="319"/>
      <c r="V276" s="319"/>
      <c r="W276" s="319"/>
      <c r="X276" s="319"/>
      <c r="Y276" s="319"/>
      <c r="Z276" s="316" t="str">
        <f>IF(Y276="Yes","Please ensure the UI has been upgraded","")</f>
        <v/>
      </c>
    </row>
    <row r="277" spans="2:26" s="308" customFormat="1" ht="15.75" customHeight="1">
      <c r="B277" s="322"/>
      <c r="C277" s="315" t="s">
        <v>309</v>
      </c>
      <c r="D277" s="315">
        <f>B277</f>
        <v>0</v>
      </c>
      <c r="E277" s="322" t="s">
        <v>309</v>
      </c>
      <c r="F277" s="315" t="str">
        <f>IF(B277="","",B277)</f>
        <v/>
      </c>
      <c r="G277" s="323"/>
      <c r="H277" s="322"/>
      <c r="I277" s="315"/>
      <c r="J277" s="315"/>
      <c r="K277" s="322"/>
      <c r="L277" s="315"/>
      <c r="M277" s="313"/>
      <c r="N277" s="319" t="s">
        <v>16</v>
      </c>
      <c r="O277" s="319" t="s">
        <v>16</v>
      </c>
      <c r="P277" s="321"/>
      <c r="Q277" s="320"/>
      <c r="R277" s="313"/>
      <c r="S277" s="319"/>
      <c r="T277" s="319"/>
      <c r="U277" s="319"/>
      <c r="V277" s="319"/>
      <c r="W277" s="319"/>
      <c r="X277" s="319"/>
      <c r="Y277" s="319"/>
      <c r="Z277" s="316" t="str">
        <f>IF(Y277="Yes","Please ensure the UI has been upgraded","")</f>
        <v/>
      </c>
    </row>
    <row r="278" spans="2:26" s="308" customFormat="1" ht="15.75" customHeight="1">
      <c r="B278" s="322"/>
      <c r="C278" s="315" t="s">
        <v>309</v>
      </c>
      <c r="D278" s="315">
        <f>B278</f>
        <v>0</v>
      </c>
      <c r="E278" s="322" t="s">
        <v>309</v>
      </c>
      <c r="F278" s="315" t="str">
        <f>IF(B278="","",B278)</f>
        <v/>
      </c>
      <c r="G278" s="323"/>
      <c r="H278" s="322"/>
      <c r="I278" s="315"/>
      <c r="J278" s="315"/>
      <c r="K278" s="322"/>
      <c r="L278" s="315"/>
      <c r="M278" s="313"/>
      <c r="N278" s="319" t="s">
        <v>16</v>
      </c>
      <c r="O278" s="319" t="s">
        <v>16</v>
      </c>
      <c r="P278" s="321"/>
      <c r="Q278" s="320"/>
      <c r="R278" s="313"/>
      <c r="S278" s="319"/>
      <c r="T278" s="319"/>
      <c r="U278" s="319"/>
      <c r="V278" s="319"/>
      <c r="W278" s="319"/>
      <c r="X278" s="319"/>
      <c r="Y278" s="319"/>
      <c r="Z278" s="316" t="str">
        <f>IF(Y278="Yes","Please ensure the UI has been upgraded","")</f>
        <v/>
      </c>
    </row>
    <row r="279" spans="2:26" s="308" customFormat="1" ht="15.75" customHeight="1">
      <c r="B279" s="322"/>
      <c r="C279" s="315" t="s">
        <v>309</v>
      </c>
      <c r="D279" s="315">
        <f>B279</f>
        <v>0</v>
      </c>
      <c r="E279" s="322" t="s">
        <v>309</v>
      </c>
      <c r="F279" s="315" t="str">
        <f>IF(B279="","",B279)</f>
        <v/>
      </c>
      <c r="G279" s="323"/>
      <c r="H279" s="322"/>
      <c r="I279" s="315"/>
      <c r="J279" s="315"/>
      <c r="K279" s="322"/>
      <c r="L279" s="315"/>
      <c r="M279" s="313"/>
      <c r="N279" s="319" t="s">
        <v>16</v>
      </c>
      <c r="O279" s="319" t="s">
        <v>16</v>
      </c>
      <c r="P279" s="321"/>
      <c r="Q279" s="320"/>
      <c r="R279" s="313"/>
      <c r="S279" s="319"/>
      <c r="T279" s="319"/>
      <c r="U279" s="319"/>
      <c r="V279" s="319"/>
      <c r="W279" s="319"/>
      <c r="X279" s="319"/>
      <c r="Y279" s="319"/>
      <c r="Z279" s="316" t="str">
        <f>IF(Y279="Yes","Please ensure the UI has been upgraded","")</f>
        <v/>
      </c>
    </row>
    <row r="280" spans="2:26" s="308" customFormat="1" ht="15.75" customHeight="1">
      <c r="B280" s="322"/>
      <c r="C280" s="315" t="s">
        <v>309</v>
      </c>
      <c r="D280" s="315">
        <f>B280</f>
        <v>0</v>
      </c>
      <c r="E280" s="322" t="s">
        <v>309</v>
      </c>
      <c r="F280" s="315" t="str">
        <f>IF(B280="","",B280)</f>
        <v/>
      </c>
      <c r="G280" s="323"/>
      <c r="H280" s="322"/>
      <c r="I280" s="315"/>
      <c r="J280" s="315"/>
      <c r="K280" s="322"/>
      <c r="L280" s="315"/>
      <c r="M280" s="313"/>
      <c r="N280" s="319" t="s">
        <v>16</v>
      </c>
      <c r="O280" s="319" t="s">
        <v>16</v>
      </c>
      <c r="P280" s="321"/>
      <c r="Q280" s="320"/>
      <c r="R280" s="313"/>
      <c r="S280" s="319"/>
      <c r="T280" s="319"/>
      <c r="U280" s="319"/>
      <c r="V280" s="319"/>
      <c r="W280" s="319"/>
      <c r="X280" s="319"/>
      <c r="Y280" s="319"/>
      <c r="Z280" s="316" t="str">
        <f>IF(Y280="Yes","Please ensure the UI has been upgraded","")</f>
        <v/>
      </c>
    </row>
    <row r="281" spans="2:26" s="308" customFormat="1" ht="15.75" customHeight="1">
      <c r="B281" s="322"/>
      <c r="C281" s="315" t="s">
        <v>309</v>
      </c>
      <c r="D281" s="315">
        <f>B281</f>
        <v>0</v>
      </c>
      <c r="E281" s="322" t="s">
        <v>309</v>
      </c>
      <c r="F281" s="315" t="str">
        <f>IF(B281="","",B281)</f>
        <v/>
      </c>
      <c r="G281" s="323"/>
      <c r="H281" s="322"/>
      <c r="I281" s="315"/>
      <c r="J281" s="315"/>
      <c r="K281" s="322"/>
      <c r="L281" s="315"/>
      <c r="M281" s="313"/>
      <c r="N281" s="319" t="s">
        <v>16</v>
      </c>
      <c r="O281" s="319" t="s">
        <v>16</v>
      </c>
      <c r="P281" s="321"/>
      <c r="Q281" s="320"/>
      <c r="R281" s="313"/>
      <c r="S281" s="319"/>
      <c r="T281" s="319"/>
      <c r="U281" s="319"/>
      <c r="V281" s="319"/>
      <c r="W281" s="319"/>
      <c r="X281" s="319"/>
      <c r="Y281" s="319"/>
      <c r="Z281" s="316" t="str">
        <f>IF(Y281="Yes","Please ensure the UI has been upgraded","")</f>
        <v/>
      </c>
    </row>
    <row r="282" spans="2:26" s="308" customFormat="1" ht="15.75" customHeight="1">
      <c r="B282" s="322"/>
      <c r="C282" s="315" t="s">
        <v>309</v>
      </c>
      <c r="D282" s="315">
        <f>B282</f>
        <v>0</v>
      </c>
      <c r="E282" s="322" t="s">
        <v>309</v>
      </c>
      <c r="F282" s="315" t="str">
        <f>IF(B282="","",B282)</f>
        <v/>
      </c>
      <c r="G282" s="323"/>
      <c r="H282" s="322"/>
      <c r="I282" s="315"/>
      <c r="J282" s="315"/>
      <c r="K282" s="322"/>
      <c r="L282" s="315"/>
      <c r="M282" s="313"/>
      <c r="N282" s="319" t="s">
        <v>16</v>
      </c>
      <c r="O282" s="319" t="s">
        <v>16</v>
      </c>
      <c r="P282" s="321"/>
      <c r="Q282" s="320"/>
      <c r="R282" s="313"/>
      <c r="S282" s="319"/>
      <c r="T282" s="319"/>
      <c r="U282" s="319"/>
      <c r="V282" s="319"/>
      <c r="W282" s="319"/>
      <c r="X282" s="319"/>
      <c r="Y282" s="319"/>
      <c r="Z282" s="316" t="str">
        <f>IF(Y282="Yes","Please ensure the UI has been upgraded","")</f>
        <v/>
      </c>
    </row>
    <row r="283" spans="2:26" s="308" customFormat="1" ht="15.75" customHeight="1">
      <c r="B283" s="322"/>
      <c r="C283" s="315" t="s">
        <v>309</v>
      </c>
      <c r="D283" s="315">
        <f>B283</f>
        <v>0</v>
      </c>
      <c r="E283" s="322" t="s">
        <v>309</v>
      </c>
      <c r="F283" s="315" t="str">
        <f>IF(B283="","",B283)</f>
        <v/>
      </c>
      <c r="G283" s="323"/>
      <c r="H283" s="322"/>
      <c r="I283" s="315"/>
      <c r="J283" s="315"/>
      <c r="K283" s="322"/>
      <c r="L283" s="315"/>
      <c r="M283" s="313"/>
      <c r="N283" s="319" t="s">
        <v>16</v>
      </c>
      <c r="O283" s="319" t="s">
        <v>16</v>
      </c>
      <c r="P283" s="321"/>
      <c r="Q283" s="320"/>
      <c r="R283" s="313"/>
      <c r="S283" s="319"/>
      <c r="T283" s="319"/>
      <c r="U283" s="319"/>
      <c r="V283" s="319"/>
      <c r="W283" s="319"/>
      <c r="X283" s="319"/>
      <c r="Y283" s="319"/>
      <c r="Z283" s="316" t="str">
        <f>IF(Y283="Yes","Please ensure the UI has been upgraded","")</f>
        <v/>
      </c>
    </row>
    <row r="284" spans="2:26" s="308" customFormat="1" ht="15.75" customHeight="1">
      <c r="B284" s="322"/>
      <c r="C284" s="315" t="s">
        <v>309</v>
      </c>
      <c r="D284" s="315">
        <f>B284</f>
        <v>0</v>
      </c>
      <c r="E284" s="322" t="s">
        <v>309</v>
      </c>
      <c r="F284" s="315" t="str">
        <f>IF(B284="","",B284)</f>
        <v/>
      </c>
      <c r="G284" s="323"/>
      <c r="H284" s="322"/>
      <c r="I284" s="315"/>
      <c r="J284" s="315"/>
      <c r="K284" s="322"/>
      <c r="L284" s="315"/>
      <c r="M284" s="313"/>
      <c r="N284" s="319" t="s">
        <v>16</v>
      </c>
      <c r="O284" s="319" t="s">
        <v>16</v>
      </c>
      <c r="P284" s="321"/>
      <c r="Q284" s="320"/>
      <c r="R284" s="313"/>
      <c r="S284" s="319"/>
      <c r="T284" s="319"/>
      <c r="U284" s="319"/>
      <c r="V284" s="319"/>
      <c r="W284" s="319"/>
      <c r="X284" s="319"/>
      <c r="Y284" s="319"/>
      <c r="Z284" s="316" t="str">
        <f>IF(Y284="Yes","Please ensure the UI has been upgraded","")</f>
        <v/>
      </c>
    </row>
    <row r="285" spans="2:26" s="308" customFormat="1" ht="15.75" customHeight="1">
      <c r="B285" s="322"/>
      <c r="C285" s="315" t="s">
        <v>309</v>
      </c>
      <c r="D285" s="315">
        <f>B285</f>
        <v>0</v>
      </c>
      <c r="E285" s="322" t="s">
        <v>309</v>
      </c>
      <c r="F285" s="315" t="str">
        <f>IF(B285="","",B285)</f>
        <v/>
      </c>
      <c r="G285" s="323"/>
      <c r="H285" s="322"/>
      <c r="I285" s="315"/>
      <c r="J285" s="315"/>
      <c r="K285" s="322"/>
      <c r="L285" s="315"/>
      <c r="M285" s="313"/>
      <c r="N285" s="319" t="s">
        <v>16</v>
      </c>
      <c r="O285" s="319" t="s">
        <v>16</v>
      </c>
      <c r="P285" s="321"/>
      <c r="Q285" s="320"/>
      <c r="R285" s="313"/>
      <c r="S285" s="319"/>
      <c r="T285" s="319"/>
      <c r="U285" s="319"/>
      <c r="V285" s="319"/>
      <c r="W285" s="319"/>
      <c r="X285" s="319"/>
      <c r="Y285" s="319"/>
      <c r="Z285" s="316" t="str">
        <f>IF(Y285="Yes","Please ensure the UI has been upgraded","")</f>
        <v/>
      </c>
    </row>
    <row r="286" spans="2:26" s="308" customFormat="1" ht="15.75" customHeight="1">
      <c r="B286" s="322"/>
      <c r="C286" s="315" t="s">
        <v>309</v>
      </c>
      <c r="D286" s="315">
        <f>B286</f>
        <v>0</v>
      </c>
      <c r="E286" s="322" t="s">
        <v>309</v>
      </c>
      <c r="F286" s="315" t="str">
        <f>IF(B286="","",B286)</f>
        <v/>
      </c>
      <c r="G286" s="323"/>
      <c r="H286" s="322"/>
      <c r="I286" s="315"/>
      <c r="J286" s="315"/>
      <c r="K286" s="322"/>
      <c r="L286" s="315"/>
      <c r="M286" s="313"/>
      <c r="N286" s="319" t="s">
        <v>16</v>
      </c>
      <c r="O286" s="319" t="s">
        <v>16</v>
      </c>
      <c r="P286" s="321"/>
      <c r="Q286" s="320"/>
      <c r="R286" s="313"/>
      <c r="S286" s="319"/>
      <c r="T286" s="319"/>
      <c r="U286" s="319"/>
      <c r="V286" s="319"/>
      <c r="W286" s="319"/>
      <c r="X286" s="319"/>
      <c r="Y286" s="319"/>
      <c r="Z286" s="316" t="str">
        <f>IF(Y286="Yes","Please ensure the UI has been upgraded","")</f>
        <v/>
      </c>
    </row>
    <row r="287" spans="2:26" s="308" customFormat="1" ht="15.75" customHeight="1">
      <c r="B287" s="322"/>
      <c r="C287" s="315" t="s">
        <v>309</v>
      </c>
      <c r="D287" s="315">
        <f>B287</f>
        <v>0</v>
      </c>
      <c r="E287" s="322" t="s">
        <v>309</v>
      </c>
      <c r="F287" s="315" t="str">
        <f>IF(B287="","",B287)</f>
        <v/>
      </c>
      <c r="G287" s="323"/>
      <c r="H287" s="322"/>
      <c r="I287" s="315"/>
      <c r="J287" s="315"/>
      <c r="K287" s="322"/>
      <c r="L287" s="315"/>
      <c r="M287" s="313"/>
      <c r="N287" s="319" t="s">
        <v>16</v>
      </c>
      <c r="O287" s="319" t="s">
        <v>16</v>
      </c>
      <c r="P287" s="321"/>
      <c r="Q287" s="320"/>
      <c r="R287" s="313"/>
      <c r="S287" s="319"/>
      <c r="T287" s="319"/>
      <c r="U287" s="319"/>
      <c r="V287" s="319"/>
      <c r="W287" s="319"/>
      <c r="X287" s="319"/>
      <c r="Y287" s="319"/>
      <c r="Z287" s="316"/>
    </row>
    <row r="288" spans="2:26" s="308" customFormat="1" ht="15.75" customHeight="1">
      <c r="B288" s="322"/>
      <c r="C288" s="315" t="s">
        <v>309</v>
      </c>
      <c r="D288" s="315">
        <f>B288</f>
        <v>0</v>
      </c>
      <c r="E288" s="322" t="s">
        <v>309</v>
      </c>
      <c r="F288" s="315" t="str">
        <f>IF(B288="","",B288)</f>
        <v/>
      </c>
      <c r="G288" s="323"/>
      <c r="H288" s="322"/>
      <c r="I288" s="315"/>
      <c r="J288" s="315"/>
      <c r="K288" s="322"/>
      <c r="L288" s="315"/>
      <c r="M288" s="313"/>
      <c r="N288" s="319" t="s">
        <v>16</v>
      </c>
      <c r="O288" s="319" t="s">
        <v>16</v>
      </c>
      <c r="P288" s="321"/>
      <c r="Q288" s="320"/>
      <c r="R288" s="313"/>
      <c r="S288" s="319"/>
      <c r="T288" s="319"/>
      <c r="U288" s="319"/>
      <c r="V288" s="319"/>
      <c r="W288" s="319"/>
      <c r="X288" s="319"/>
      <c r="Y288" s="319"/>
      <c r="Z288" s="316"/>
    </row>
    <row r="289" spans="2:26" s="308" customFormat="1" ht="15.75" customHeight="1">
      <c r="B289" s="322"/>
      <c r="C289" s="315" t="s">
        <v>309</v>
      </c>
      <c r="D289" s="315">
        <f>B289</f>
        <v>0</v>
      </c>
      <c r="E289" s="322" t="s">
        <v>309</v>
      </c>
      <c r="F289" s="315" t="str">
        <f>IF(B289="","",B289)</f>
        <v/>
      </c>
      <c r="G289" s="323"/>
      <c r="H289" s="322"/>
      <c r="I289" s="315"/>
      <c r="J289" s="315"/>
      <c r="K289" s="322"/>
      <c r="L289" s="315"/>
      <c r="M289" s="313"/>
      <c r="N289" s="319" t="s">
        <v>16</v>
      </c>
      <c r="O289" s="319" t="s">
        <v>16</v>
      </c>
      <c r="P289" s="321"/>
      <c r="Q289" s="320"/>
      <c r="R289" s="313"/>
      <c r="S289" s="319"/>
      <c r="T289" s="319"/>
      <c r="U289" s="319"/>
      <c r="V289" s="319"/>
      <c r="W289" s="319"/>
      <c r="X289" s="319"/>
      <c r="Y289" s="319"/>
      <c r="Z289" s="316"/>
    </row>
    <row r="290" spans="2:26" s="308" customFormat="1" ht="15.75" customHeight="1">
      <c r="B290" s="322"/>
      <c r="C290" s="315" t="s">
        <v>309</v>
      </c>
      <c r="D290" s="315">
        <f>B290</f>
        <v>0</v>
      </c>
      <c r="E290" s="322" t="s">
        <v>309</v>
      </c>
      <c r="F290" s="315" t="str">
        <f>IF(B290="","",B290)</f>
        <v/>
      </c>
      <c r="G290" s="323"/>
      <c r="H290" s="322"/>
      <c r="I290" s="315"/>
      <c r="J290" s="315"/>
      <c r="K290" s="322"/>
      <c r="L290" s="315"/>
      <c r="M290" s="313"/>
      <c r="N290" s="319" t="s">
        <v>16</v>
      </c>
      <c r="O290" s="319" t="s">
        <v>16</v>
      </c>
      <c r="P290" s="321"/>
      <c r="Q290" s="320"/>
      <c r="R290" s="313"/>
      <c r="S290" s="319"/>
      <c r="T290" s="319"/>
      <c r="U290" s="319"/>
      <c r="V290" s="319"/>
      <c r="W290" s="319"/>
      <c r="X290" s="319"/>
      <c r="Y290" s="319"/>
      <c r="Z290" s="316"/>
    </row>
    <row r="291" spans="2:26" s="308" customFormat="1" ht="15.75" customHeight="1">
      <c r="B291" s="322"/>
      <c r="C291" s="315" t="s">
        <v>309</v>
      </c>
      <c r="D291" s="315">
        <f>B291</f>
        <v>0</v>
      </c>
      <c r="E291" s="322" t="s">
        <v>309</v>
      </c>
      <c r="F291" s="315" t="str">
        <f>IF(B291="","",B291)</f>
        <v/>
      </c>
      <c r="G291" s="323"/>
      <c r="H291" s="322"/>
      <c r="I291" s="315"/>
      <c r="J291" s="315"/>
      <c r="K291" s="322"/>
      <c r="L291" s="315"/>
      <c r="M291" s="313"/>
      <c r="N291" s="319" t="s">
        <v>16</v>
      </c>
      <c r="O291" s="319" t="s">
        <v>16</v>
      </c>
      <c r="P291" s="321"/>
      <c r="Q291" s="320"/>
      <c r="R291" s="313"/>
      <c r="S291" s="319"/>
      <c r="T291" s="319"/>
      <c r="U291" s="319"/>
      <c r="V291" s="319"/>
      <c r="W291" s="319"/>
      <c r="X291" s="319"/>
      <c r="Y291" s="319"/>
      <c r="Z291" s="316"/>
    </row>
    <row r="292" spans="2:26" s="308" customFormat="1" ht="15.75" customHeight="1">
      <c r="B292" s="322"/>
      <c r="C292" s="315" t="s">
        <v>309</v>
      </c>
      <c r="D292" s="315">
        <f>B292</f>
        <v>0</v>
      </c>
      <c r="E292" s="322" t="s">
        <v>309</v>
      </c>
      <c r="F292" s="315" t="str">
        <f>IF(B292="","",B292)</f>
        <v/>
      </c>
      <c r="G292" s="323"/>
      <c r="H292" s="322"/>
      <c r="I292" s="315"/>
      <c r="J292" s="315"/>
      <c r="K292" s="322"/>
      <c r="L292" s="315"/>
      <c r="M292" s="313"/>
      <c r="N292" s="319" t="s">
        <v>16</v>
      </c>
      <c r="O292" s="319" t="s">
        <v>16</v>
      </c>
      <c r="P292" s="321"/>
      <c r="Q292" s="320"/>
      <c r="R292" s="313"/>
      <c r="S292" s="319"/>
      <c r="T292" s="319"/>
      <c r="U292" s="319"/>
      <c r="V292" s="319"/>
      <c r="W292" s="319"/>
      <c r="X292" s="319"/>
      <c r="Y292" s="319"/>
      <c r="Z292" s="316" t="str">
        <f>IF(Y292="Yes","Please ensure the UI has been upgraded","")</f>
        <v/>
      </c>
    </row>
    <row r="293" spans="2:26" s="308" customFormat="1" ht="15.75" customHeight="1">
      <c r="B293" s="322"/>
      <c r="C293" s="315" t="s">
        <v>309</v>
      </c>
      <c r="D293" s="315">
        <f>B293</f>
        <v>0</v>
      </c>
      <c r="E293" s="322" t="s">
        <v>309</v>
      </c>
      <c r="F293" s="315" t="str">
        <f>IF(B293="","",B293)</f>
        <v/>
      </c>
      <c r="G293" s="323"/>
      <c r="H293" s="322"/>
      <c r="I293" s="315"/>
      <c r="J293" s="315"/>
      <c r="K293" s="322"/>
      <c r="L293" s="315"/>
      <c r="M293" s="313"/>
      <c r="N293" s="319" t="s">
        <v>16</v>
      </c>
      <c r="O293" s="319" t="s">
        <v>16</v>
      </c>
      <c r="P293" s="321"/>
      <c r="Q293" s="320"/>
      <c r="R293" s="313"/>
      <c r="S293" s="319"/>
      <c r="T293" s="319"/>
      <c r="U293" s="319"/>
      <c r="V293" s="319"/>
      <c r="W293" s="319"/>
      <c r="X293" s="319"/>
      <c r="Y293" s="319"/>
      <c r="Z293" s="316" t="str">
        <f>IF(Y293="Yes","Please ensure the UI has been upgraded","")</f>
        <v/>
      </c>
    </row>
    <row r="294" spans="2:26" s="308" customFormat="1" ht="15.75" customHeight="1">
      <c r="B294" s="322"/>
      <c r="C294" s="315" t="s">
        <v>309</v>
      </c>
      <c r="D294" s="315">
        <f>B294</f>
        <v>0</v>
      </c>
      <c r="E294" s="322" t="s">
        <v>309</v>
      </c>
      <c r="F294" s="315" t="str">
        <f>IF(B294="","",B294)</f>
        <v/>
      </c>
      <c r="G294" s="323"/>
      <c r="H294" s="322"/>
      <c r="I294" s="315"/>
      <c r="J294" s="315"/>
      <c r="K294" s="322"/>
      <c r="L294" s="315"/>
      <c r="M294" s="313"/>
      <c r="N294" s="319" t="s">
        <v>16</v>
      </c>
      <c r="O294" s="319" t="s">
        <v>16</v>
      </c>
      <c r="P294" s="321"/>
      <c r="Q294" s="320"/>
      <c r="R294" s="313"/>
      <c r="S294" s="319"/>
      <c r="T294" s="319"/>
      <c r="U294" s="319"/>
      <c r="V294" s="319"/>
      <c r="W294" s="319"/>
      <c r="X294" s="319"/>
      <c r="Y294" s="319"/>
      <c r="Z294" s="316" t="str">
        <f>IF(Y294="Yes","Please ensure the UI has been upgraded","")</f>
        <v/>
      </c>
    </row>
    <row r="295" spans="2:26" s="308" customFormat="1" ht="15.75" customHeight="1">
      <c r="B295" s="322"/>
      <c r="C295" s="315" t="s">
        <v>309</v>
      </c>
      <c r="D295" s="315">
        <f>B295</f>
        <v>0</v>
      </c>
      <c r="E295" s="322" t="s">
        <v>309</v>
      </c>
      <c r="F295" s="315" t="str">
        <f>IF(B295="","",B295)</f>
        <v/>
      </c>
      <c r="G295" s="323"/>
      <c r="H295" s="322"/>
      <c r="I295" s="315"/>
      <c r="J295" s="315"/>
      <c r="K295" s="322"/>
      <c r="L295" s="315"/>
      <c r="M295" s="313"/>
      <c r="N295" s="319" t="s">
        <v>16</v>
      </c>
      <c r="O295" s="319" t="s">
        <v>16</v>
      </c>
      <c r="P295" s="321"/>
      <c r="Q295" s="320"/>
      <c r="R295" s="313"/>
      <c r="S295" s="319"/>
      <c r="T295" s="319"/>
      <c r="U295" s="319"/>
      <c r="V295" s="319"/>
      <c r="W295" s="319"/>
      <c r="X295" s="319"/>
      <c r="Y295" s="319"/>
      <c r="Z295" s="316" t="str">
        <f>IF(Y295="Yes","Please ensure the UI has been upgraded","")</f>
        <v/>
      </c>
    </row>
    <row r="296" spans="2:26" s="308" customFormat="1" ht="15.75" customHeight="1">
      <c r="B296" s="322"/>
      <c r="C296" s="315" t="s">
        <v>309</v>
      </c>
      <c r="D296" s="315">
        <f>B296</f>
        <v>0</v>
      </c>
      <c r="E296" s="322" t="s">
        <v>309</v>
      </c>
      <c r="F296" s="315" t="str">
        <f>IF(B296="","",B296)</f>
        <v/>
      </c>
      <c r="G296" s="323"/>
      <c r="H296" s="322"/>
      <c r="I296" s="315"/>
      <c r="J296" s="315"/>
      <c r="K296" s="322"/>
      <c r="L296" s="315"/>
      <c r="M296" s="313"/>
      <c r="N296" s="319" t="s">
        <v>16</v>
      </c>
      <c r="O296" s="319" t="s">
        <v>16</v>
      </c>
      <c r="P296" s="321"/>
      <c r="Q296" s="320"/>
      <c r="R296" s="313"/>
      <c r="S296" s="319"/>
      <c r="T296" s="319"/>
      <c r="U296" s="319"/>
      <c r="V296" s="319"/>
      <c r="W296" s="319"/>
      <c r="X296" s="319"/>
      <c r="Y296" s="319"/>
      <c r="Z296" s="316" t="str">
        <f>IF(Y296="Yes","Please ensure the UI has been upgraded","")</f>
        <v/>
      </c>
    </row>
    <row r="297" spans="2:26" s="308" customFormat="1" ht="15.75" customHeight="1">
      <c r="B297" s="322"/>
      <c r="C297" s="315" t="s">
        <v>309</v>
      </c>
      <c r="D297" s="315">
        <f>B297</f>
        <v>0</v>
      </c>
      <c r="E297" s="322" t="s">
        <v>309</v>
      </c>
      <c r="F297" s="315" t="str">
        <f>IF(B297="","",B297)</f>
        <v/>
      </c>
      <c r="G297" s="323"/>
      <c r="H297" s="322"/>
      <c r="I297" s="315"/>
      <c r="J297" s="315"/>
      <c r="K297" s="322"/>
      <c r="L297" s="315"/>
      <c r="M297" s="313"/>
      <c r="N297" s="319" t="s">
        <v>16</v>
      </c>
      <c r="O297" s="319" t="s">
        <v>16</v>
      </c>
      <c r="P297" s="321"/>
      <c r="Q297" s="320"/>
      <c r="R297" s="313"/>
      <c r="S297" s="319"/>
      <c r="T297" s="319"/>
      <c r="U297" s="319"/>
      <c r="V297" s="319"/>
      <c r="W297" s="319"/>
      <c r="X297" s="319"/>
      <c r="Y297" s="319"/>
      <c r="Z297" s="316" t="str">
        <f>IF(Y297="Yes","Please ensure the UI has been upgraded","")</f>
        <v/>
      </c>
    </row>
    <row r="298" spans="2:26" s="308" customFormat="1" ht="15.75" customHeight="1">
      <c r="B298" s="322"/>
      <c r="C298" s="315" t="s">
        <v>309</v>
      </c>
      <c r="D298" s="315">
        <f>B298</f>
        <v>0</v>
      </c>
      <c r="E298" s="322" t="s">
        <v>309</v>
      </c>
      <c r="F298" s="315" t="str">
        <f>IF(B298="","",B298)</f>
        <v/>
      </c>
      <c r="G298" s="323"/>
      <c r="H298" s="322"/>
      <c r="I298" s="315"/>
      <c r="J298" s="315"/>
      <c r="K298" s="322"/>
      <c r="L298" s="315"/>
      <c r="M298" s="313"/>
      <c r="N298" s="319" t="s">
        <v>16</v>
      </c>
      <c r="O298" s="319" t="s">
        <v>16</v>
      </c>
      <c r="P298" s="321"/>
      <c r="Q298" s="320"/>
      <c r="R298" s="313"/>
      <c r="S298" s="319"/>
      <c r="T298" s="319"/>
      <c r="U298" s="319"/>
      <c r="V298" s="319"/>
      <c r="W298" s="319"/>
      <c r="X298" s="319"/>
      <c r="Y298" s="319"/>
      <c r="Z298" s="316" t="str">
        <f>IF(Y298="Yes","Please ensure the UI has been upgraded","")</f>
        <v/>
      </c>
    </row>
    <row r="299" spans="2:26" s="308" customFormat="1" ht="15.75" customHeight="1">
      <c r="B299" s="322"/>
      <c r="C299" s="315" t="s">
        <v>309</v>
      </c>
      <c r="D299" s="315">
        <f>B299</f>
        <v>0</v>
      </c>
      <c r="E299" s="322" t="s">
        <v>309</v>
      </c>
      <c r="F299" s="315" t="str">
        <f>IF(B299="","",B299)</f>
        <v/>
      </c>
      <c r="G299" s="323"/>
      <c r="H299" s="322"/>
      <c r="I299" s="315"/>
      <c r="J299" s="315"/>
      <c r="K299" s="322"/>
      <c r="L299" s="315"/>
      <c r="M299" s="313"/>
      <c r="N299" s="319" t="s">
        <v>16</v>
      </c>
      <c r="O299" s="319" t="s">
        <v>16</v>
      </c>
      <c r="P299" s="321"/>
      <c r="Q299" s="320"/>
      <c r="R299" s="313"/>
      <c r="S299" s="319"/>
      <c r="T299" s="319"/>
      <c r="U299" s="319"/>
      <c r="V299" s="319"/>
      <c r="W299" s="319"/>
      <c r="X299" s="319"/>
      <c r="Y299" s="319"/>
      <c r="Z299" s="316" t="str">
        <f>IF(Y299="Yes","Please ensure the UI has been upgraded","")</f>
        <v/>
      </c>
    </row>
    <row r="300" spans="2:26" s="308" customFormat="1" ht="15.75" customHeight="1">
      <c r="B300" s="322"/>
      <c r="C300" s="315" t="s">
        <v>309</v>
      </c>
      <c r="D300" s="315">
        <f>B300</f>
        <v>0</v>
      </c>
      <c r="E300" s="322" t="s">
        <v>309</v>
      </c>
      <c r="F300" s="315" t="str">
        <f>IF(B300="","",B300)</f>
        <v/>
      </c>
      <c r="G300" s="323"/>
      <c r="H300" s="322"/>
      <c r="I300" s="315"/>
      <c r="J300" s="315"/>
      <c r="K300" s="322"/>
      <c r="L300" s="315"/>
      <c r="M300" s="313"/>
      <c r="N300" s="319" t="s">
        <v>16</v>
      </c>
      <c r="O300" s="319" t="s">
        <v>16</v>
      </c>
      <c r="P300" s="321"/>
      <c r="Q300" s="320"/>
      <c r="R300" s="313"/>
      <c r="S300" s="319"/>
      <c r="T300" s="319"/>
      <c r="U300" s="319"/>
      <c r="V300" s="319"/>
      <c r="W300" s="319"/>
      <c r="X300" s="319"/>
      <c r="Y300" s="319"/>
      <c r="Z300" s="316" t="str">
        <f>IF(Y300="Yes","Please ensure the UI has been upgraded","")</f>
        <v/>
      </c>
    </row>
    <row r="301" spans="2:26" s="308" customFormat="1" ht="15.75" customHeight="1">
      <c r="B301" s="322"/>
      <c r="C301" s="315" t="s">
        <v>309</v>
      </c>
      <c r="D301" s="315">
        <f>B301</f>
        <v>0</v>
      </c>
      <c r="E301" s="322" t="s">
        <v>309</v>
      </c>
      <c r="F301" s="315" t="str">
        <f>IF(B301="","",B301)</f>
        <v/>
      </c>
      <c r="G301" s="323"/>
      <c r="H301" s="322"/>
      <c r="I301" s="315"/>
      <c r="J301" s="315"/>
      <c r="K301" s="322"/>
      <c r="L301" s="315"/>
      <c r="M301" s="313"/>
      <c r="N301" s="319" t="s">
        <v>16</v>
      </c>
      <c r="O301" s="319" t="s">
        <v>16</v>
      </c>
      <c r="P301" s="321"/>
      <c r="Q301" s="320"/>
      <c r="R301" s="313"/>
      <c r="S301" s="319"/>
      <c r="T301" s="319"/>
      <c r="U301" s="319"/>
      <c r="V301" s="319"/>
      <c r="W301" s="319"/>
      <c r="X301" s="319"/>
      <c r="Y301" s="319"/>
      <c r="Z301" s="316" t="str">
        <f>IF(Y301="Yes","Please ensure the UI has been upgraded","")</f>
        <v/>
      </c>
    </row>
    <row r="302" spans="2:26" s="308" customFormat="1" ht="15.75" customHeight="1">
      <c r="B302" s="322"/>
      <c r="C302" s="315" t="s">
        <v>309</v>
      </c>
      <c r="D302" s="315">
        <f>B302</f>
        <v>0</v>
      </c>
      <c r="E302" s="322" t="s">
        <v>309</v>
      </c>
      <c r="F302" s="315" t="str">
        <f>IF(B302="","",B302)</f>
        <v/>
      </c>
      <c r="G302" s="323"/>
      <c r="H302" s="322"/>
      <c r="I302" s="315"/>
      <c r="J302" s="315"/>
      <c r="K302" s="322"/>
      <c r="L302" s="315"/>
      <c r="M302" s="313"/>
      <c r="N302" s="319" t="s">
        <v>16</v>
      </c>
      <c r="O302" s="319" t="s">
        <v>16</v>
      </c>
      <c r="P302" s="321"/>
      <c r="Q302" s="320"/>
      <c r="R302" s="313"/>
      <c r="S302" s="319"/>
      <c r="T302" s="319"/>
      <c r="U302" s="319"/>
      <c r="V302" s="319"/>
      <c r="W302" s="319"/>
      <c r="X302" s="319"/>
      <c r="Y302" s="319"/>
      <c r="Z302" s="316" t="str">
        <f>IF(Y302="Yes","Please ensure the UI has been upgraded","")</f>
        <v/>
      </c>
    </row>
    <row r="303" spans="2:26" s="308" customFormat="1" ht="15.75" customHeight="1">
      <c r="B303" s="322"/>
      <c r="C303" s="315" t="s">
        <v>309</v>
      </c>
      <c r="D303" s="315">
        <f>B303</f>
        <v>0</v>
      </c>
      <c r="E303" s="322" t="s">
        <v>309</v>
      </c>
      <c r="F303" s="315" t="str">
        <f>IF(B303="","",B303)</f>
        <v/>
      </c>
      <c r="G303" s="323"/>
      <c r="H303" s="322"/>
      <c r="I303" s="315"/>
      <c r="J303" s="315"/>
      <c r="K303" s="322"/>
      <c r="L303" s="315"/>
      <c r="M303" s="313"/>
      <c r="N303" s="319" t="s">
        <v>16</v>
      </c>
      <c r="O303" s="319" t="s">
        <v>16</v>
      </c>
      <c r="P303" s="321"/>
      <c r="Q303" s="320"/>
      <c r="R303" s="313"/>
      <c r="S303" s="319"/>
      <c r="T303" s="319"/>
      <c r="U303" s="319"/>
      <c r="V303" s="319"/>
      <c r="W303" s="319"/>
      <c r="X303" s="319"/>
      <c r="Y303" s="319"/>
      <c r="Z303" s="316" t="str">
        <f>IF(Y303="Yes","Please ensure the UI has been upgraded","")</f>
        <v/>
      </c>
    </row>
    <row r="304" spans="2:26" s="308" customFormat="1" ht="15.75" customHeight="1">
      <c r="B304" s="322"/>
      <c r="C304" s="315" t="s">
        <v>309</v>
      </c>
      <c r="D304" s="315">
        <f>B304</f>
        <v>0</v>
      </c>
      <c r="E304" s="322" t="s">
        <v>309</v>
      </c>
      <c r="F304" s="315" t="str">
        <f>IF(B304="","",B304)</f>
        <v/>
      </c>
      <c r="G304" s="323"/>
      <c r="H304" s="322"/>
      <c r="I304" s="315"/>
      <c r="J304" s="315"/>
      <c r="K304" s="322"/>
      <c r="L304" s="315"/>
      <c r="M304" s="313"/>
      <c r="N304" s="319" t="s">
        <v>16</v>
      </c>
      <c r="O304" s="319" t="s">
        <v>16</v>
      </c>
      <c r="P304" s="321"/>
      <c r="Q304" s="320"/>
      <c r="R304" s="313"/>
      <c r="S304" s="319"/>
      <c r="T304" s="319"/>
      <c r="U304" s="319"/>
      <c r="V304" s="319"/>
      <c r="W304" s="319"/>
      <c r="X304" s="319"/>
      <c r="Y304" s="319"/>
      <c r="Z304" s="316" t="str">
        <f>IF(Y304="Yes","Please ensure the UI has been upgraded","")</f>
        <v/>
      </c>
    </row>
    <row r="305" spans="2:26" s="308" customFormat="1" ht="15.75" customHeight="1">
      <c r="B305" s="322"/>
      <c r="C305" s="315" t="s">
        <v>309</v>
      </c>
      <c r="D305" s="315">
        <f>B305</f>
        <v>0</v>
      </c>
      <c r="E305" s="322" t="s">
        <v>309</v>
      </c>
      <c r="F305" s="315" t="str">
        <f>IF(B305="","",B305)</f>
        <v/>
      </c>
      <c r="G305" s="323"/>
      <c r="H305" s="322"/>
      <c r="I305" s="315"/>
      <c r="J305" s="315"/>
      <c r="K305" s="322"/>
      <c r="L305" s="315"/>
      <c r="M305" s="313"/>
      <c r="N305" s="319" t="s">
        <v>16</v>
      </c>
      <c r="O305" s="319" t="s">
        <v>16</v>
      </c>
      <c r="P305" s="321"/>
      <c r="Q305" s="320"/>
      <c r="R305" s="313"/>
      <c r="S305" s="319"/>
      <c r="T305" s="319"/>
      <c r="U305" s="319"/>
      <c r="V305" s="319"/>
      <c r="W305" s="319"/>
      <c r="X305" s="319"/>
      <c r="Y305" s="319"/>
      <c r="Z305" s="316"/>
    </row>
    <row r="306" spans="2:26" s="308" customFormat="1" ht="15.75" customHeight="1">
      <c r="B306" s="322"/>
      <c r="C306" s="315" t="s">
        <v>309</v>
      </c>
      <c r="D306" s="315">
        <f>B306</f>
        <v>0</v>
      </c>
      <c r="E306" s="322" t="s">
        <v>309</v>
      </c>
      <c r="F306" s="315" t="str">
        <f>IF(B306="","",B306)</f>
        <v/>
      </c>
      <c r="G306" s="323"/>
      <c r="H306" s="322"/>
      <c r="I306" s="315"/>
      <c r="J306" s="315"/>
      <c r="K306" s="322"/>
      <c r="L306" s="315"/>
      <c r="M306" s="313"/>
      <c r="N306" s="319" t="s">
        <v>16</v>
      </c>
      <c r="O306" s="319" t="s">
        <v>16</v>
      </c>
      <c r="P306" s="321"/>
      <c r="Q306" s="320"/>
      <c r="R306" s="313"/>
      <c r="S306" s="319"/>
      <c r="T306" s="319"/>
      <c r="U306" s="319"/>
      <c r="V306" s="319"/>
      <c r="W306" s="319"/>
      <c r="X306" s="319"/>
      <c r="Y306" s="319"/>
      <c r="Z306" s="316"/>
    </row>
    <row r="307" spans="2:26" s="308" customFormat="1" ht="15.75" customHeight="1">
      <c r="B307" s="322"/>
      <c r="C307" s="315" t="s">
        <v>309</v>
      </c>
      <c r="D307" s="315">
        <f>B307</f>
        <v>0</v>
      </c>
      <c r="E307" s="322" t="s">
        <v>309</v>
      </c>
      <c r="F307" s="315" t="str">
        <f>IF(B307="","",B307)</f>
        <v/>
      </c>
      <c r="G307" s="323"/>
      <c r="H307" s="322"/>
      <c r="I307" s="315"/>
      <c r="J307" s="315"/>
      <c r="K307" s="322"/>
      <c r="L307" s="315"/>
      <c r="M307" s="313"/>
      <c r="N307" s="319" t="s">
        <v>16</v>
      </c>
      <c r="O307" s="319" t="s">
        <v>16</v>
      </c>
      <c r="P307" s="321"/>
      <c r="Q307" s="320"/>
      <c r="R307" s="313"/>
      <c r="S307" s="319"/>
      <c r="T307" s="319"/>
      <c r="U307" s="319"/>
      <c r="V307" s="319"/>
      <c r="W307" s="319"/>
      <c r="X307" s="319"/>
      <c r="Y307" s="319"/>
      <c r="Z307" s="316"/>
    </row>
    <row r="308" spans="2:26" s="308" customFormat="1" ht="15.75" customHeight="1">
      <c r="B308" s="322"/>
      <c r="C308" s="315" t="s">
        <v>309</v>
      </c>
      <c r="D308" s="315">
        <f>B308</f>
        <v>0</v>
      </c>
      <c r="E308" s="322" t="s">
        <v>309</v>
      </c>
      <c r="F308" s="315" t="str">
        <f>IF(B308="","",B308)</f>
        <v/>
      </c>
      <c r="G308" s="323"/>
      <c r="H308" s="322"/>
      <c r="I308" s="315"/>
      <c r="J308" s="315"/>
      <c r="K308" s="322"/>
      <c r="L308" s="315"/>
      <c r="M308" s="313"/>
      <c r="N308" s="319" t="s">
        <v>16</v>
      </c>
      <c r="O308" s="319" t="s">
        <v>16</v>
      </c>
      <c r="P308" s="321"/>
      <c r="Q308" s="320"/>
      <c r="R308" s="313"/>
      <c r="S308" s="319"/>
      <c r="T308" s="319"/>
      <c r="U308" s="319"/>
      <c r="V308" s="319"/>
      <c r="W308" s="319"/>
      <c r="X308" s="319"/>
      <c r="Y308" s="319"/>
      <c r="Z308" s="316"/>
    </row>
    <row r="309" spans="2:26" s="308" customFormat="1" ht="15.75" customHeight="1">
      <c r="B309" s="322"/>
      <c r="C309" s="315" t="s">
        <v>309</v>
      </c>
      <c r="D309" s="315">
        <f>B309</f>
        <v>0</v>
      </c>
      <c r="E309" s="322" t="s">
        <v>309</v>
      </c>
      <c r="F309" s="315" t="str">
        <f>IF(B309="","",B309)</f>
        <v/>
      </c>
      <c r="G309" s="323"/>
      <c r="H309" s="322"/>
      <c r="I309" s="315"/>
      <c r="J309" s="315"/>
      <c r="K309" s="322"/>
      <c r="L309" s="315"/>
      <c r="M309" s="313"/>
      <c r="N309" s="319" t="s">
        <v>16</v>
      </c>
      <c r="O309" s="319" t="s">
        <v>16</v>
      </c>
      <c r="P309" s="321"/>
      <c r="Q309" s="320"/>
      <c r="R309" s="313"/>
      <c r="S309" s="319"/>
      <c r="T309" s="319"/>
      <c r="U309" s="319"/>
      <c r="V309" s="319"/>
      <c r="W309" s="319"/>
      <c r="X309" s="319"/>
      <c r="Y309" s="319"/>
      <c r="Z309" s="316"/>
    </row>
    <row r="310" spans="2:26" s="308" customFormat="1" ht="15.75" customHeight="1">
      <c r="B310" s="322"/>
      <c r="C310" s="315" t="s">
        <v>309</v>
      </c>
      <c r="D310" s="315">
        <f>B310</f>
        <v>0</v>
      </c>
      <c r="E310" s="322" t="s">
        <v>309</v>
      </c>
      <c r="F310" s="315" t="str">
        <f>IF(B310="","",B310)</f>
        <v/>
      </c>
      <c r="G310" s="323"/>
      <c r="H310" s="322"/>
      <c r="I310" s="315"/>
      <c r="J310" s="315"/>
      <c r="K310" s="322"/>
      <c r="L310" s="315"/>
      <c r="M310" s="313"/>
      <c r="N310" s="319" t="s">
        <v>16</v>
      </c>
      <c r="O310" s="319" t="s">
        <v>16</v>
      </c>
      <c r="P310" s="321"/>
      <c r="Q310" s="320"/>
      <c r="R310" s="313"/>
      <c r="S310" s="319"/>
      <c r="T310" s="319"/>
      <c r="U310" s="319"/>
      <c r="V310" s="319"/>
      <c r="W310" s="319"/>
      <c r="X310" s="319"/>
      <c r="Y310" s="319"/>
      <c r="Z310" s="316" t="str">
        <f>IF(Y310="Yes","Please ensure the UI has been upgraded","")</f>
        <v/>
      </c>
    </row>
    <row r="311" spans="2:26" s="308" customFormat="1" ht="15.75" customHeight="1">
      <c r="B311" s="322"/>
      <c r="C311" s="315" t="s">
        <v>309</v>
      </c>
      <c r="D311" s="315">
        <f>B311</f>
        <v>0</v>
      </c>
      <c r="E311" s="322" t="s">
        <v>309</v>
      </c>
      <c r="F311" s="315" t="str">
        <f>IF(B311="","",B311)</f>
        <v/>
      </c>
      <c r="G311" s="323"/>
      <c r="H311" s="322"/>
      <c r="I311" s="315"/>
      <c r="J311" s="315"/>
      <c r="K311" s="322"/>
      <c r="L311" s="315"/>
      <c r="M311" s="313"/>
      <c r="N311" s="319" t="s">
        <v>16</v>
      </c>
      <c r="O311" s="319" t="s">
        <v>16</v>
      </c>
      <c r="P311" s="321"/>
      <c r="Q311" s="320"/>
      <c r="R311" s="313"/>
      <c r="S311" s="319"/>
      <c r="T311" s="319"/>
      <c r="U311" s="319"/>
      <c r="V311" s="319"/>
      <c r="W311" s="319"/>
      <c r="X311" s="319"/>
      <c r="Y311" s="319"/>
      <c r="Z311" s="316" t="str">
        <f>IF(Y311="Yes","Please ensure the UI has been upgraded","")</f>
        <v/>
      </c>
    </row>
    <row r="312" spans="2:26" s="308" customFormat="1" ht="15.75" customHeight="1">
      <c r="B312" s="322"/>
      <c r="C312" s="315" t="s">
        <v>309</v>
      </c>
      <c r="D312" s="315">
        <f>B312</f>
        <v>0</v>
      </c>
      <c r="E312" s="322" t="s">
        <v>309</v>
      </c>
      <c r="F312" s="315" t="str">
        <f>IF(B312="","",B312)</f>
        <v/>
      </c>
      <c r="G312" s="323"/>
      <c r="H312" s="322"/>
      <c r="I312" s="315"/>
      <c r="J312" s="315"/>
      <c r="K312" s="322"/>
      <c r="L312" s="315"/>
      <c r="M312" s="313"/>
      <c r="N312" s="319" t="s">
        <v>16</v>
      </c>
      <c r="O312" s="319" t="s">
        <v>16</v>
      </c>
      <c r="P312" s="321"/>
      <c r="Q312" s="320"/>
      <c r="R312" s="313"/>
      <c r="S312" s="319"/>
      <c r="T312" s="319"/>
      <c r="U312" s="319"/>
      <c r="V312" s="319"/>
      <c r="W312" s="319"/>
      <c r="X312" s="319"/>
      <c r="Y312" s="319"/>
      <c r="Z312" s="316" t="str">
        <f>IF(Y312="Yes","Please ensure the UI has been upgraded","")</f>
        <v/>
      </c>
    </row>
    <row r="313" spans="2:26" s="308" customFormat="1" ht="15.75" customHeight="1">
      <c r="B313" s="322"/>
      <c r="C313" s="315" t="s">
        <v>309</v>
      </c>
      <c r="D313" s="315">
        <f>B313</f>
        <v>0</v>
      </c>
      <c r="E313" s="322" t="s">
        <v>309</v>
      </c>
      <c r="F313" s="315" t="str">
        <f>IF(B313="","",B313)</f>
        <v/>
      </c>
      <c r="G313" s="323"/>
      <c r="H313" s="322"/>
      <c r="I313" s="315"/>
      <c r="J313" s="315"/>
      <c r="K313" s="322"/>
      <c r="L313" s="315"/>
      <c r="M313" s="313"/>
      <c r="N313" s="319" t="s">
        <v>16</v>
      </c>
      <c r="O313" s="319" t="s">
        <v>16</v>
      </c>
      <c r="P313" s="321"/>
      <c r="Q313" s="320"/>
      <c r="R313" s="313"/>
      <c r="S313" s="319"/>
      <c r="T313" s="319"/>
      <c r="U313" s="319"/>
      <c r="V313" s="319"/>
      <c r="W313" s="319"/>
      <c r="X313" s="319"/>
      <c r="Y313" s="319"/>
      <c r="Z313" s="316" t="str">
        <f>IF(Y313="Yes","Please ensure the UI has been upgraded","")</f>
        <v/>
      </c>
    </row>
    <row r="314" spans="2:26" s="308" customFormat="1" ht="15.75" customHeight="1">
      <c r="B314" s="322"/>
      <c r="C314" s="315" t="s">
        <v>309</v>
      </c>
      <c r="D314" s="315">
        <f>B314</f>
        <v>0</v>
      </c>
      <c r="E314" s="322" t="s">
        <v>309</v>
      </c>
      <c r="F314" s="315" t="str">
        <f>IF(B314="","",B314)</f>
        <v/>
      </c>
      <c r="G314" s="323"/>
      <c r="H314" s="322"/>
      <c r="I314" s="315"/>
      <c r="J314" s="315"/>
      <c r="K314" s="322"/>
      <c r="L314" s="315"/>
      <c r="M314" s="313"/>
      <c r="N314" s="319" t="s">
        <v>16</v>
      </c>
      <c r="O314" s="319" t="s">
        <v>16</v>
      </c>
      <c r="P314" s="321"/>
      <c r="Q314" s="320"/>
      <c r="R314" s="313"/>
      <c r="S314" s="319"/>
      <c r="T314" s="319"/>
      <c r="U314" s="319"/>
      <c r="V314" s="319"/>
      <c r="W314" s="319"/>
      <c r="X314" s="319"/>
      <c r="Y314" s="319"/>
      <c r="Z314" s="316" t="str">
        <f>IF(Y314="Yes","Please ensure the UI has been upgraded","")</f>
        <v/>
      </c>
    </row>
    <row r="315" spans="2:26" s="308" customFormat="1" ht="15.75" customHeight="1">
      <c r="B315" s="322"/>
      <c r="C315" s="315" t="s">
        <v>309</v>
      </c>
      <c r="D315" s="315">
        <f>B315</f>
        <v>0</v>
      </c>
      <c r="E315" s="322" t="s">
        <v>309</v>
      </c>
      <c r="F315" s="315" t="str">
        <f>IF(B315="","",B315)</f>
        <v/>
      </c>
      <c r="G315" s="323"/>
      <c r="H315" s="322"/>
      <c r="I315" s="315"/>
      <c r="J315" s="315"/>
      <c r="K315" s="322"/>
      <c r="L315" s="315"/>
      <c r="M315" s="313"/>
      <c r="N315" s="319" t="s">
        <v>16</v>
      </c>
      <c r="O315" s="319" t="s">
        <v>16</v>
      </c>
      <c r="P315" s="321"/>
      <c r="Q315" s="320"/>
      <c r="R315" s="313"/>
      <c r="S315" s="319"/>
      <c r="T315" s="319"/>
      <c r="U315" s="319"/>
      <c r="V315" s="319"/>
      <c r="W315" s="319"/>
      <c r="X315" s="319"/>
      <c r="Y315" s="319"/>
      <c r="Z315" s="316" t="str">
        <f>IF(Y315="Yes","Please ensure the UI has been upgraded","")</f>
        <v/>
      </c>
    </row>
    <row r="316" spans="2:26" s="308" customFormat="1" ht="15.75" customHeight="1">
      <c r="B316" s="322"/>
      <c r="C316" s="315" t="s">
        <v>309</v>
      </c>
      <c r="D316" s="315">
        <f>B316</f>
        <v>0</v>
      </c>
      <c r="E316" s="322" t="s">
        <v>309</v>
      </c>
      <c r="F316" s="315" t="str">
        <f>IF(B316="","",B316)</f>
        <v/>
      </c>
      <c r="G316" s="323"/>
      <c r="H316" s="322"/>
      <c r="I316" s="315"/>
      <c r="J316" s="315"/>
      <c r="K316" s="322"/>
      <c r="L316" s="315"/>
      <c r="M316" s="313"/>
      <c r="N316" s="319" t="s">
        <v>16</v>
      </c>
      <c r="O316" s="319" t="s">
        <v>16</v>
      </c>
      <c r="P316" s="321"/>
      <c r="Q316" s="320"/>
      <c r="R316" s="313"/>
      <c r="S316" s="319"/>
      <c r="T316" s="319"/>
      <c r="U316" s="319"/>
      <c r="V316" s="319"/>
      <c r="W316" s="319"/>
      <c r="X316" s="319"/>
      <c r="Y316" s="319"/>
      <c r="Z316" s="316" t="str">
        <f>IF(Y316="Yes","Please ensure the UI has been upgraded","")</f>
        <v/>
      </c>
    </row>
    <row r="317" spans="2:26" s="308" customFormat="1" ht="15.75" customHeight="1">
      <c r="B317" s="322"/>
      <c r="C317" s="315" t="s">
        <v>309</v>
      </c>
      <c r="D317" s="315">
        <f>B317</f>
        <v>0</v>
      </c>
      <c r="E317" s="322" t="s">
        <v>309</v>
      </c>
      <c r="F317" s="315" t="str">
        <f>IF(B317="","",B317)</f>
        <v/>
      </c>
      <c r="G317" s="323"/>
      <c r="H317" s="322"/>
      <c r="I317" s="315"/>
      <c r="J317" s="315"/>
      <c r="K317" s="322"/>
      <c r="L317" s="315"/>
      <c r="M317" s="313"/>
      <c r="N317" s="319" t="s">
        <v>16</v>
      </c>
      <c r="O317" s="319" t="s">
        <v>16</v>
      </c>
      <c r="P317" s="321"/>
      <c r="Q317" s="320"/>
      <c r="R317" s="313"/>
      <c r="S317" s="319"/>
      <c r="T317" s="319"/>
      <c r="U317" s="319"/>
      <c r="V317" s="319"/>
      <c r="W317" s="319"/>
      <c r="X317" s="319"/>
      <c r="Y317" s="319"/>
      <c r="Z317" s="316" t="str">
        <f>IF(Y317="Yes","Please ensure the UI has been upgraded","")</f>
        <v/>
      </c>
    </row>
    <row r="318" spans="2:26" s="308" customFormat="1" ht="15.75" customHeight="1">
      <c r="B318" s="322"/>
      <c r="C318" s="315" t="s">
        <v>309</v>
      </c>
      <c r="D318" s="315">
        <f>B318</f>
        <v>0</v>
      </c>
      <c r="E318" s="322" t="s">
        <v>309</v>
      </c>
      <c r="F318" s="315" t="str">
        <f>IF(B318="","",B318)</f>
        <v/>
      </c>
      <c r="G318" s="323"/>
      <c r="H318" s="322"/>
      <c r="I318" s="315"/>
      <c r="J318" s="315"/>
      <c r="K318" s="322"/>
      <c r="L318" s="315"/>
      <c r="M318" s="313"/>
      <c r="N318" s="319" t="s">
        <v>16</v>
      </c>
      <c r="O318" s="319" t="s">
        <v>16</v>
      </c>
      <c r="P318" s="321"/>
      <c r="Q318" s="320"/>
      <c r="R318" s="313"/>
      <c r="S318" s="319"/>
      <c r="T318" s="319"/>
      <c r="U318" s="319"/>
      <c r="V318" s="319"/>
      <c r="W318" s="319"/>
      <c r="X318" s="319"/>
      <c r="Y318" s="319"/>
      <c r="Z318" s="316" t="str">
        <f>IF(Y318="Yes","Please ensure the UI has been upgraded","")</f>
        <v/>
      </c>
    </row>
    <row r="319" spans="2:26" s="308" customFormat="1" ht="15.75" customHeight="1">
      <c r="B319" s="322"/>
      <c r="C319" s="315" t="s">
        <v>309</v>
      </c>
      <c r="D319" s="315">
        <f>B319</f>
        <v>0</v>
      </c>
      <c r="E319" s="322" t="s">
        <v>309</v>
      </c>
      <c r="F319" s="315" t="str">
        <f>IF(B319="","",B319)</f>
        <v/>
      </c>
      <c r="G319" s="323"/>
      <c r="H319" s="322"/>
      <c r="I319" s="315"/>
      <c r="J319" s="315"/>
      <c r="K319" s="322"/>
      <c r="L319" s="315"/>
      <c r="M319" s="313"/>
      <c r="N319" s="319" t="s">
        <v>16</v>
      </c>
      <c r="O319" s="319" t="s">
        <v>16</v>
      </c>
      <c r="P319" s="321"/>
      <c r="Q319" s="320"/>
      <c r="R319" s="313"/>
      <c r="S319" s="319"/>
      <c r="T319" s="319"/>
      <c r="U319" s="319"/>
      <c r="V319" s="319"/>
      <c r="W319" s="319"/>
      <c r="X319" s="319"/>
      <c r="Y319" s="319"/>
      <c r="Z319" s="316" t="str">
        <f>IF(Y319="Yes","Please ensure the UI has been upgraded","")</f>
        <v/>
      </c>
    </row>
    <row r="320" spans="2:26" s="308" customFormat="1" ht="15.75" customHeight="1">
      <c r="B320" s="322"/>
      <c r="C320" s="315" t="s">
        <v>309</v>
      </c>
      <c r="D320" s="315">
        <f>B320</f>
        <v>0</v>
      </c>
      <c r="E320" s="322" t="s">
        <v>309</v>
      </c>
      <c r="F320" s="315" t="str">
        <f>IF(B320="","",B320)</f>
        <v/>
      </c>
      <c r="G320" s="323"/>
      <c r="H320" s="322"/>
      <c r="I320" s="315"/>
      <c r="J320" s="315"/>
      <c r="K320" s="322"/>
      <c r="L320" s="315"/>
      <c r="M320" s="313"/>
      <c r="N320" s="319" t="s">
        <v>16</v>
      </c>
      <c r="O320" s="319" t="s">
        <v>16</v>
      </c>
      <c r="P320" s="321"/>
      <c r="Q320" s="320"/>
      <c r="R320" s="313"/>
      <c r="S320" s="319"/>
      <c r="T320" s="319"/>
      <c r="U320" s="319"/>
      <c r="V320" s="319"/>
      <c r="W320" s="319"/>
      <c r="X320" s="319"/>
      <c r="Y320" s="319"/>
      <c r="Z320" s="316" t="str">
        <f>IF(Y320="Yes","Please ensure the UI has been upgraded","")</f>
        <v/>
      </c>
    </row>
    <row r="321" spans="2:26" s="308" customFormat="1" ht="15.75" customHeight="1">
      <c r="B321" s="322"/>
      <c r="C321" s="315" t="s">
        <v>309</v>
      </c>
      <c r="D321" s="315">
        <f>B321</f>
        <v>0</v>
      </c>
      <c r="E321" s="322" t="s">
        <v>309</v>
      </c>
      <c r="F321" s="315" t="str">
        <f>IF(B321="","",B321)</f>
        <v/>
      </c>
      <c r="G321" s="323"/>
      <c r="H321" s="322"/>
      <c r="I321" s="315"/>
      <c r="J321" s="315"/>
      <c r="K321" s="322"/>
      <c r="L321" s="315"/>
      <c r="M321" s="313"/>
      <c r="N321" s="319" t="s">
        <v>16</v>
      </c>
      <c r="O321" s="319" t="s">
        <v>16</v>
      </c>
      <c r="P321" s="321"/>
      <c r="Q321" s="320"/>
      <c r="R321" s="313"/>
      <c r="S321" s="319"/>
      <c r="T321" s="319"/>
      <c r="U321" s="319"/>
      <c r="V321" s="319"/>
      <c r="W321" s="319"/>
      <c r="X321" s="319"/>
      <c r="Y321" s="319"/>
      <c r="Z321" s="316" t="str">
        <f>IF(Y321="Yes","Please ensure the UI has been upgraded","")</f>
        <v/>
      </c>
    </row>
    <row r="322" spans="2:26" s="308" customFormat="1" ht="15.75" customHeight="1">
      <c r="B322" s="322"/>
      <c r="C322" s="315" t="s">
        <v>309</v>
      </c>
      <c r="D322" s="315">
        <f>B322</f>
        <v>0</v>
      </c>
      <c r="E322" s="322" t="s">
        <v>309</v>
      </c>
      <c r="F322" s="315" t="str">
        <f>IF(B322="","",B322)</f>
        <v/>
      </c>
      <c r="G322" s="323"/>
      <c r="H322" s="322"/>
      <c r="I322" s="315"/>
      <c r="J322" s="315"/>
      <c r="K322" s="322"/>
      <c r="L322" s="315"/>
      <c r="M322" s="313"/>
      <c r="N322" s="319" t="s">
        <v>16</v>
      </c>
      <c r="O322" s="319" t="s">
        <v>16</v>
      </c>
      <c r="P322" s="321"/>
      <c r="Q322" s="320"/>
      <c r="R322" s="313"/>
      <c r="S322" s="319"/>
      <c r="T322" s="319"/>
      <c r="U322" s="319"/>
      <c r="V322" s="319"/>
      <c r="W322" s="319"/>
      <c r="X322" s="319"/>
      <c r="Y322" s="319"/>
      <c r="Z322" s="316"/>
    </row>
    <row r="323" spans="2:26" s="308" customFormat="1" ht="15.75" customHeight="1">
      <c r="B323" s="322"/>
      <c r="C323" s="315" t="s">
        <v>309</v>
      </c>
      <c r="D323" s="315">
        <f>B323</f>
        <v>0</v>
      </c>
      <c r="E323" s="322" t="s">
        <v>309</v>
      </c>
      <c r="F323" s="315" t="str">
        <f>IF(B323="","",B323)</f>
        <v/>
      </c>
      <c r="G323" s="323"/>
      <c r="H323" s="322"/>
      <c r="I323" s="315"/>
      <c r="J323" s="315"/>
      <c r="K323" s="322"/>
      <c r="L323" s="315"/>
      <c r="M323" s="313"/>
      <c r="N323" s="319" t="s">
        <v>16</v>
      </c>
      <c r="O323" s="319" t="s">
        <v>16</v>
      </c>
      <c r="P323" s="321"/>
      <c r="Q323" s="320"/>
      <c r="R323" s="313"/>
      <c r="S323" s="319"/>
      <c r="T323" s="319"/>
      <c r="U323" s="319"/>
      <c r="V323" s="319"/>
      <c r="W323" s="319"/>
      <c r="X323" s="319"/>
      <c r="Y323" s="319"/>
      <c r="Z323" s="316"/>
    </row>
    <row r="324" spans="2:26" s="308" customFormat="1" ht="15.75" customHeight="1">
      <c r="B324" s="322"/>
      <c r="C324" s="315" t="s">
        <v>309</v>
      </c>
      <c r="D324" s="315">
        <f>B324</f>
        <v>0</v>
      </c>
      <c r="E324" s="322" t="s">
        <v>309</v>
      </c>
      <c r="F324" s="315" t="str">
        <f>IF(B324="","",B324)</f>
        <v/>
      </c>
      <c r="G324" s="323"/>
      <c r="H324" s="322"/>
      <c r="I324" s="315"/>
      <c r="J324" s="315"/>
      <c r="K324" s="322"/>
      <c r="L324" s="315"/>
      <c r="M324" s="313"/>
      <c r="N324" s="319" t="s">
        <v>16</v>
      </c>
      <c r="O324" s="319" t="s">
        <v>16</v>
      </c>
      <c r="P324" s="321"/>
      <c r="Q324" s="320"/>
      <c r="R324" s="313"/>
      <c r="S324" s="319"/>
      <c r="T324" s="319"/>
      <c r="U324" s="319"/>
      <c r="V324" s="319"/>
      <c r="W324" s="319"/>
      <c r="X324" s="319"/>
      <c r="Y324" s="319"/>
      <c r="Z324" s="316" t="str">
        <f>IF(Y324="Yes","Please ensure the UI has been upgraded","")</f>
        <v/>
      </c>
    </row>
    <row r="325" spans="2:26" s="308" customFormat="1" ht="15.75" customHeight="1">
      <c r="B325" s="322"/>
      <c r="C325" s="315" t="s">
        <v>309</v>
      </c>
      <c r="D325" s="315">
        <f>B325</f>
        <v>0</v>
      </c>
      <c r="E325" s="322" t="s">
        <v>309</v>
      </c>
      <c r="F325" s="315" t="str">
        <f>IF(B325="","",B325)</f>
        <v/>
      </c>
      <c r="G325" s="323"/>
      <c r="H325" s="322"/>
      <c r="I325" s="315"/>
      <c r="J325" s="315"/>
      <c r="K325" s="322"/>
      <c r="L325" s="315"/>
      <c r="M325" s="313"/>
      <c r="N325" s="319" t="s">
        <v>16</v>
      </c>
      <c r="O325" s="319" t="s">
        <v>16</v>
      </c>
      <c r="P325" s="321"/>
      <c r="Q325" s="320"/>
      <c r="R325" s="313"/>
      <c r="S325" s="319"/>
      <c r="T325" s="319"/>
      <c r="U325" s="319"/>
      <c r="V325" s="319"/>
      <c r="W325" s="319"/>
      <c r="X325" s="319"/>
      <c r="Y325" s="319"/>
      <c r="Z325" s="316" t="str">
        <f>IF(Y325="Yes","Please ensure the UI has been upgraded","")</f>
        <v/>
      </c>
    </row>
    <row r="326" spans="2:26" s="308" customFormat="1" ht="15.75" customHeight="1">
      <c r="B326" s="322"/>
      <c r="C326" s="315" t="s">
        <v>309</v>
      </c>
      <c r="D326" s="315">
        <f>B326</f>
        <v>0</v>
      </c>
      <c r="E326" s="322" t="s">
        <v>309</v>
      </c>
      <c r="F326" s="315" t="str">
        <f>IF(B326="","",B326)</f>
        <v/>
      </c>
      <c r="G326" s="323"/>
      <c r="H326" s="322"/>
      <c r="I326" s="315"/>
      <c r="J326" s="315"/>
      <c r="K326" s="322"/>
      <c r="L326" s="315"/>
      <c r="M326" s="313"/>
      <c r="N326" s="319" t="s">
        <v>16</v>
      </c>
      <c r="O326" s="319" t="s">
        <v>16</v>
      </c>
      <c r="P326" s="321"/>
      <c r="Q326" s="320"/>
      <c r="R326" s="313"/>
      <c r="S326" s="319"/>
      <c r="T326" s="319"/>
      <c r="U326" s="319"/>
      <c r="V326" s="319"/>
      <c r="W326" s="319"/>
      <c r="X326" s="319"/>
      <c r="Y326" s="319"/>
      <c r="Z326" s="316" t="str">
        <f>IF(Y326="Yes","Please ensure the UI has been upgraded","")</f>
        <v/>
      </c>
    </row>
    <row r="327" spans="2:26" s="308" customFormat="1" ht="15.75" customHeight="1">
      <c r="B327" s="322"/>
      <c r="C327" s="315" t="s">
        <v>309</v>
      </c>
      <c r="D327" s="315">
        <f>B327</f>
        <v>0</v>
      </c>
      <c r="E327" s="322" t="s">
        <v>309</v>
      </c>
      <c r="F327" s="315" t="str">
        <f>IF(B327="","",B327)</f>
        <v/>
      </c>
      <c r="G327" s="323"/>
      <c r="H327" s="322"/>
      <c r="I327" s="315"/>
      <c r="J327" s="315"/>
      <c r="K327" s="322"/>
      <c r="L327" s="315"/>
      <c r="M327" s="313"/>
      <c r="N327" s="319" t="s">
        <v>16</v>
      </c>
      <c r="O327" s="319" t="s">
        <v>16</v>
      </c>
      <c r="P327" s="321"/>
      <c r="Q327" s="320"/>
      <c r="R327" s="313"/>
      <c r="S327" s="319"/>
      <c r="T327" s="319"/>
      <c r="U327" s="319"/>
      <c r="V327" s="319"/>
      <c r="W327" s="319"/>
      <c r="X327" s="319"/>
      <c r="Y327" s="319"/>
      <c r="Z327" s="316" t="str">
        <f>IF(Y327="Yes","Please ensure the UI has been upgraded","")</f>
        <v/>
      </c>
    </row>
    <row r="328" spans="2:26" s="308" customFormat="1" ht="15.75" customHeight="1">
      <c r="B328" s="322"/>
      <c r="C328" s="315" t="s">
        <v>309</v>
      </c>
      <c r="D328" s="315">
        <f>B328</f>
        <v>0</v>
      </c>
      <c r="E328" s="322" t="s">
        <v>309</v>
      </c>
      <c r="F328" s="315" t="str">
        <f>IF(B328="","",B328)</f>
        <v/>
      </c>
      <c r="G328" s="323"/>
      <c r="H328" s="322"/>
      <c r="I328" s="315"/>
      <c r="J328" s="315"/>
      <c r="K328" s="322"/>
      <c r="L328" s="315"/>
      <c r="M328" s="313"/>
      <c r="N328" s="319" t="s">
        <v>16</v>
      </c>
      <c r="O328" s="319" t="s">
        <v>16</v>
      </c>
      <c r="P328" s="321"/>
      <c r="Q328" s="320"/>
      <c r="R328" s="313"/>
      <c r="S328" s="319"/>
      <c r="T328" s="319"/>
      <c r="U328" s="319"/>
      <c r="V328" s="319"/>
      <c r="W328" s="319"/>
      <c r="X328" s="319"/>
      <c r="Y328" s="319"/>
      <c r="Z328" s="316" t="str">
        <f>IF(Y328="Yes","Please ensure the UI has been upgraded","")</f>
        <v/>
      </c>
    </row>
    <row r="329" spans="2:26" s="308" customFormat="1" ht="15.75" customHeight="1">
      <c r="B329" s="322"/>
      <c r="C329" s="315" t="s">
        <v>309</v>
      </c>
      <c r="D329" s="315">
        <f>B329</f>
        <v>0</v>
      </c>
      <c r="E329" s="322" t="s">
        <v>309</v>
      </c>
      <c r="F329" s="315" t="str">
        <f>IF(B329="","",B329)</f>
        <v/>
      </c>
      <c r="G329" s="323"/>
      <c r="H329" s="322"/>
      <c r="I329" s="315"/>
      <c r="J329" s="315"/>
      <c r="K329" s="322"/>
      <c r="L329" s="315"/>
      <c r="M329" s="313"/>
      <c r="N329" s="319" t="s">
        <v>16</v>
      </c>
      <c r="O329" s="319" t="s">
        <v>16</v>
      </c>
      <c r="P329" s="321"/>
      <c r="Q329" s="320"/>
      <c r="R329" s="313"/>
      <c r="S329" s="319"/>
      <c r="T329" s="319"/>
      <c r="U329" s="319"/>
      <c r="V329" s="319"/>
      <c r="W329" s="319"/>
      <c r="X329" s="319"/>
      <c r="Y329" s="319"/>
      <c r="Z329" s="316" t="str">
        <f>IF(Y329="Yes","Please ensure the UI has been upgraded","")</f>
        <v/>
      </c>
    </row>
    <row r="330" spans="2:26" s="308" customFormat="1" ht="15.75" customHeight="1">
      <c r="B330" s="322"/>
      <c r="C330" s="315" t="s">
        <v>309</v>
      </c>
      <c r="D330" s="315">
        <f>B330</f>
        <v>0</v>
      </c>
      <c r="E330" s="322" t="s">
        <v>309</v>
      </c>
      <c r="F330" s="315" t="str">
        <f>IF(B330="","",B330)</f>
        <v/>
      </c>
      <c r="G330" s="323"/>
      <c r="H330" s="322"/>
      <c r="I330" s="315"/>
      <c r="J330" s="315"/>
      <c r="K330" s="322"/>
      <c r="L330" s="315"/>
      <c r="M330" s="313"/>
      <c r="N330" s="319" t="s">
        <v>16</v>
      </c>
      <c r="O330" s="319" t="s">
        <v>16</v>
      </c>
      <c r="P330" s="321"/>
      <c r="Q330" s="320"/>
      <c r="R330" s="313"/>
      <c r="S330" s="319"/>
      <c r="T330" s="319"/>
      <c r="U330" s="319"/>
      <c r="V330" s="319"/>
      <c r="W330" s="319"/>
      <c r="X330" s="319"/>
      <c r="Y330" s="319"/>
      <c r="Z330" s="316" t="str">
        <f>IF(Y330="Yes","Please ensure the UI has been upgraded","")</f>
        <v/>
      </c>
    </row>
    <row r="331" spans="2:26" s="308" customFormat="1" ht="15.75" customHeight="1">
      <c r="B331" s="322"/>
      <c r="C331" s="315" t="s">
        <v>309</v>
      </c>
      <c r="D331" s="315">
        <f>B331</f>
        <v>0</v>
      </c>
      <c r="E331" s="322" t="s">
        <v>309</v>
      </c>
      <c r="F331" s="315" t="str">
        <f>IF(B331="","",B331)</f>
        <v/>
      </c>
      <c r="G331" s="323"/>
      <c r="H331" s="322"/>
      <c r="I331" s="315"/>
      <c r="J331" s="315"/>
      <c r="K331" s="322"/>
      <c r="L331" s="315"/>
      <c r="M331" s="313"/>
      <c r="N331" s="319" t="s">
        <v>16</v>
      </c>
      <c r="O331" s="319" t="s">
        <v>16</v>
      </c>
      <c r="P331" s="321"/>
      <c r="Q331" s="320"/>
      <c r="R331" s="313"/>
      <c r="S331" s="319"/>
      <c r="T331" s="319"/>
      <c r="U331" s="319"/>
      <c r="V331" s="319"/>
      <c r="W331" s="319"/>
      <c r="X331" s="319"/>
      <c r="Y331" s="319"/>
      <c r="Z331" s="316" t="str">
        <f>IF(Y331="Yes","Please ensure the UI has been upgraded","")</f>
        <v/>
      </c>
    </row>
    <row r="332" spans="2:26" s="308" customFormat="1" ht="15.75" customHeight="1">
      <c r="B332" s="322"/>
      <c r="C332" s="315" t="s">
        <v>309</v>
      </c>
      <c r="D332" s="315">
        <f>B332</f>
        <v>0</v>
      </c>
      <c r="E332" s="322" t="s">
        <v>309</v>
      </c>
      <c r="F332" s="315" t="str">
        <f>IF(B332="","",B332)</f>
        <v/>
      </c>
      <c r="G332" s="323"/>
      <c r="H332" s="322"/>
      <c r="I332" s="315"/>
      <c r="J332" s="315"/>
      <c r="K332" s="322"/>
      <c r="L332" s="315"/>
      <c r="M332" s="313"/>
      <c r="N332" s="319" t="s">
        <v>16</v>
      </c>
      <c r="O332" s="319" t="s">
        <v>16</v>
      </c>
      <c r="P332" s="321"/>
      <c r="Q332" s="320"/>
      <c r="R332" s="313"/>
      <c r="S332" s="319"/>
      <c r="T332" s="319"/>
      <c r="U332" s="319"/>
      <c r="V332" s="319"/>
      <c r="W332" s="319"/>
      <c r="X332" s="319"/>
      <c r="Y332" s="319"/>
      <c r="Z332" s="316" t="str">
        <f>IF(Y332="Yes","Please ensure the UI has been upgraded","")</f>
        <v/>
      </c>
    </row>
    <row r="333" spans="2:26" s="308" customFormat="1" ht="15.75" customHeight="1">
      <c r="B333" s="322"/>
      <c r="C333" s="315" t="s">
        <v>309</v>
      </c>
      <c r="D333" s="315">
        <f>B333</f>
        <v>0</v>
      </c>
      <c r="E333" s="322" t="s">
        <v>309</v>
      </c>
      <c r="F333" s="315" t="str">
        <f>IF(B333="","",B333)</f>
        <v/>
      </c>
      <c r="G333" s="323"/>
      <c r="H333" s="322"/>
      <c r="I333" s="315"/>
      <c r="J333" s="315"/>
      <c r="K333" s="322"/>
      <c r="L333" s="315"/>
      <c r="M333" s="313"/>
      <c r="N333" s="319" t="s">
        <v>16</v>
      </c>
      <c r="O333" s="319" t="s">
        <v>16</v>
      </c>
      <c r="P333" s="321"/>
      <c r="Q333" s="320"/>
      <c r="R333" s="313"/>
      <c r="S333" s="319"/>
      <c r="T333" s="319"/>
      <c r="U333" s="319"/>
      <c r="V333" s="319"/>
      <c r="W333" s="319"/>
      <c r="X333" s="319"/>
      <c r="Y333" s="319"/>
      <c r="Z333" s="316" t="str">
        <f>IF(Y333="Yes","Please ensure the UI has been upgraded","")</f>
        <v/>
      </c>
    </row>
    <row r="334" spans="2:26" s="308" customFormat="1" ht="15.75" customHeight="1">
      <c r="B334" s="322"/>
      <c r="C334" s="315" t="s">
        <v>309</v>
      </c>
      <c r="D334" s="315">
        <f>B334</f>
        <v>0</v>
      </c>
      <c r="E334" s="322" t="s">
        <v>309</v>
      </c>
      <c r="F334" s="315" t="str">
        <f>IF(B334="","",B334)</f>
        <v/>
      </c>
      <c r="G334" s="323"/>
      <c r="H334" s="322"/>
      <c r="I334" s="315"/>
      <c r="J334" s="315"/>
      <c r="K334" s="322"/>
      <c r="L334" s="315"/>
      <c r="M334" s="313"/>
      <c r="N334" s="319" t="s">
        <v>16</v>
      </c>
      <c r="O334" s="319" t="s">
        <v>16</v>
      </c>
      <c r="P334" s="321"/>
      <c r="Q334" s="320"/>
      <c r="R334" s="313"/>
      <c r="S334" s="319"/>
      <c r="T334" s="319"/>
      <c r="U334" s="319"/>
      <c r="V334" s="319"/>
      <c r="W334" s="319"/>
      <c r="X334" s="319"/>
      <c r="Y334" s="319"/>
      <c r="Z334" s="316" t="str">
        <f>IF(Y334="Yes","Please ensure the UI has been upgraded","")</f>
        <v/>
      </c>
    </row>
    <row r="335" spans="2:26" s="308" customFormat="1" ht="15.75" customHeight="1">
      <c r="B335" s="322"/>
      <c r="C335" s="315" t="s">
        <v>309</v>
      </c>
      <c r="D335" s="315">
        <f>B335</f>
        <v>0</v>
      </c>
      <c r="E335" s="322" t="s">
        <v>309</v>
      </c>
      <c r="F335" s="315" t="str">
        <f>IF(B335="","",B335)</f>
        <v/>
      </c>
      <c r="G335" s="323"/>
      <c r="H335" s="322"/>
      <c r="I335" s="315"/>
      <c r="J335" s="315"/>
      <c r="K335" s="322"/>
      <c r="L335" s="315"/>
      <c r="M335" s="313"/>
      <c r="N335" s="319" t="s">
        <v>16</v>
      </c>
      <c r="O335" s="319" t="s">
        <v>16</v>
      </c>
      <c r="P335" s="321"/>
      <c r="Q335" s="320"/>
      <c r="R335" s="313"/>
      <c r="S335" s="319"/>
      <c r="T335" s="319"/>
      <c r="U335" s="319"/>
      <c r="V335" s="319"/>
      <c r="W335" s="319"/>
      <c r="X335" s="319"/>
      <c r="Y335" s="319"/>
      <c r="Z335" s="316" t="str">
        <f>IF(Y335="Yes","Please ensure the UI has been upgraded","")</f>
        <v/>
      </c>
    </row>
    <row r="336" spans="2:26" s="308" customFormat="1" ht="15.75" customHeight="1">
      <c r="B336" s="322"/>
      <c r="C336" s="315" t="s">
        <v>309</v>
      </c>
      <c r="D336" s="315">
        <f>B336</f>
        <v>0</v>
      </c>
      <c r="E336" s="322" t="s">
        <v>309</v>
      </c>
      <c r="F336" s="315" t="str">
        <f>IF(B336="","",B336)</f>
        <v/>
      </c>
      <c r="G336" s="323"/>
      <c r="H336" s="322"/>
      <c r="I336" s="315"/>
      <c r="J336" s="315"/>
      <c r="K336" s="322"/>
      <c r="L336" s="315"/>
      <c r="M336" s="313"/>
      <c r="N336" s="319" t="s">
        <v>16</v>
      </c>
      <c r="O336" s="319" t="s">
        <v>16</v>
      </c>
      <c r="P336" s="321"/>
      <c r="Q336" s="320"/>
      <c r="R336" s="313"/>
      <c r="S336" s="319"/>
      <c r="T336" s="319"/>
      <c r="U336" s="319"/>
      <c r="V336" s="319"/>
      <c r="W336" s="319"/>
      <c r="X336" s="319"/>
      <c r="Y336" s="319"/>
      <c r="Z336" s="316" t="str">
        <f>IF(Y336="Yes","Please ensure the UI has been upgraded","")</f>
        <v/>
      </c>
    </row>
    <row r="337" spans="2:26" s="308" customFormat="1" ht="15.75" customHeight="1">
      <c r="B337" s="322"/>
      <c r="C337" s="315" t="s">
        <v>309</v>
      </c>
      <c r="D337" s="315">
        <f>B337</f>
        <v>0</v>
      </c>
      <c r="E337" s="322" t="s">
        <v>309</v>
      </c>
      <c r="F337" s="315" t="str">
        <f>IF(B337="","",B337)</f>
        <v/>
      </c>
      <c r="G337" s="323"/>
      <c r="H337" s="322"/>
      <c r="I337" s="315"/>
      <c r="J337" s="315"/>
      <c r="K337" s="322"/>
      <c r="L337" s="315"/>
      <c r="M337" s="313"/>
      <c r="N337" s="319" t="s">
        <v>16</v>
      </c>
      <c r="O337" s="319" t="s">
        <v>16</v>
      </c>
      <c r="P337" s="321"/>
      <c r="Q337" s="320"/>
      <c r="R337" s="313"/>
      <c r="S337" s="319"/>
      <c r="T337" s="319"/>
      <c r="U337" s="319"/>
      <c r="V337" s="319"/>
      <c r="W337" s="319"/>
      <c r="X337" s="319"/>
      <c r="Y337" s="319"/>
      <c r="Z337" s="316"/>
    </row>
    <row r="338" spans="2:26" s="308" customFormat="1" ht="15.75" customHeight="1">
      <c r="B338" s="322"/>
      <c r="C338" s="315" t="s">
        <v>309</v>
      </c>
      <c r="D338" s="315">
        <f>B338</f>
        <v>0</v>
      </c>
      <c r="E338" s="322" t="s">
        <v>309</v>
      </c>
      <c r="F338" s="315" t="str">
        <f>IF(B338="","",B338)</f>
        <v/>
      </c>
      <c r="G338" s="323"/>
      <c r="H338" s="322"/>
      <c r="I338" s="315"/>
      <c r="J338" s="315"/>
      <c r="K338" s="322"/>
      <c r="L338" s="315"/>
      <c r="M338" s="313"/>
      <c r="N338" s="319" t="s">
        <v>16</v>
      </c>
      <c r="O338" s="319" t="s">
        <v>16</v>
      </c>
      <c r="P338" s="321"/>
      <c r="Q338" s="320"/>
      <c r="R338" s="313"/>
      <c r="S338" s="319"/>
      <c r="T338" s="319"/>
      <c r="U338" s="319"/>
      <c r="V338" s="319"/>
      <c r="W338" s="319"/>
      <c r="X338" s="319"/>
      <c r="Y338" s="319"/>
      <c r="Z338" s="316"/>
    </row>
    <row r="339" spans="2:26" s="308" customFormat="1" ht="15.75" customHeight="1">
      <c r="B339" s="322"/>
      <c r="C339" s="315" t="s">
        <v>309</v>
      </c>
      <c r="D339" s="315">
        <f>B339</f>
        <v>0</v>
      </c>
      <c r="E339" s="322" t="s">
        <v>309</v>
      </c>
      <c r="F339" s="315" t="str">
        <f>IF(B339="","",B339)</f>
        <v/>
      </c>
      <c r="G339" s="323"/>
      <c r="H339" s="322"/>
      <c r="I339" s="315"/>
      <c r="J339" s="315"/>
      <c r="K339" s="322"/>
      <c r="L339" s="315"/>
      <c r="M339" s="313"/>
      <c r="N339" s="319" t="s">
        <v>16</v>
      </c>
      <c r="O339" s="319" t="s">
        <v>16</v>
      </c>
      <c r="P339" s="321"/>
      <c r="Q339" s="320"/>
      <c r="R339" s="313"/>
      <c r="S339" s="319"/>
      <c r="T339" s="319"/>
      <c r="U339" s="319"/>
      <c r="V339" s="319"/>
      <c r="W339" s="319"/>
      <c r="X339" s="319"/>
      <c r="Y339" s="319"/>
      <c r="Z339" s="316"/>
    </row>
    <row r="340" spans="2:26" s="308" customFormat="1" ht="15.75" customHeight="1">
      <c r="B340" s="322"/>
      <c r="C340" s="315" t="s">
        <v>309</v>
      </c>
      <c r="D340" s="315">
        <f>B340</f>
        <v>0</v>
      </c>
      <c r="E340" s="322" t="s">
        <v>309</v>
      </c>
      <c r="F340" s="315" t="str">
        <f>IF(B340="","",B340)</f>
        <v/>
      </c>
      <c r="G340" s="323"/>
      <c r="H340" s="322"/>
      <c r="I340" s="315"/>
      <c r="J340" s="315"/>
      <c r="K340" s="322"/>
      <c r="L340" s="315"/>
      <c r="M340" s="313"/>
      <c r="N340" s="319" t="s">
        <v>16</v>
      </c>
      <c r="O340" s="319" t="s">
        <v>16</v>
      </c>
      <c r="P340" s="321"/>
      <c r="Q340" s="320"/>
      <c r="R340" s="313"/>
      <c r="S340" s="319"/>
      <c r="T340" s="319"/>
      <c r="U340" s="319"/>
      <c r="V340" s="319"/>
      <c r="W340" s="319"/>
      <c r="X340" s="319"/>
      <c r="Y340" s="319"/>
      <c r="Z340" s="316"/>
    </row>
    <row r="341" spans="2:26" s="308" customFormat="1" ht="15.75" customHeight="1">
      <c r="B341" s="322"/>
      <c r="C341" s="315" t="s">
        <v>309</v>
      </c>
      <c r="D341" s="315">
        <f>B341</f>
        <v>0</v>
      </c>
      <c r="E341" s="322" t="s">
        <v>309</v>
      </c>
      <c r="F341" s="315" t="str">
        <f>IF(B341="","",B341)</f>
        <v/>
      </c>
      <c r="G341" s="323"/>
      <c r="H341" s="322"/>
      <c r="I341" s="315"/>
      <c r="J341" s="315"/>
      <c r="K341" s="322"/>
      <c r="L341" s="315"/>
      <c r="M341" s="313"/>
      <c r="N341" s="319" t="s">
        <v>16</v>
      </c>
      <c r="O341" s="319" t="s">
        <v>16</v>
      </c>
      <c r="P341" s="321"/>
      <c r="Q341" s="320"/>
      <c r="R341" s="313"/>
      <c r="S341" s="319"/>
      <c r="T341" s="319"/>
      <c r="U341" s="319"/>
      <c r="V341" s="319"/>
      <c r="W341" s="319"/>
      <c r="X341" s="319"/>
      <c r="Y341" s="319"/>
      <c r="Z341" s="316"/>
    </row>
    <row r="342" spans="2:26" s="308" customFormat="1" ht="15.75" customHeight="1">
      <c r="B342" s="322"/>
      <c r="C342" s="315" t="s">
        <v>309</v>
      </c>
      <c r="D342" s="315">
        <f>B342</f>
        <v>0</v>
      </c>
      <c r="E342" s="322" t="s">
        <v>309</v>
      </c>
      <c r="F342" s="315" t="str">
        <f>IF(B342="","",B342)</f>
        <v/>
      </c>
      <c r="G342" s="323"/>
      <c r="H342" s="322"/>
      <c r="I342" s="315"/>
      <c r="J342" s="315"/>
      <c r="K342" s="322"/>
      <c r="L342" s="315"/>
      <c r="M342" s="313"/>
      <c r="N342" s="319" t="s">
        <v>16</v>
      </c>
      <c r="O342" s="319" t="s">
        <v>16</v>
      </c>
      <c r="P342" s="321"/>
      <c r="Q342" s="320"/>
      <c r="R342" s="313"/>
      <c r="S342" s="319"/>
      <c r="T342" s="319"/>
      <c r="U342" s="319"/>
      <c r="V342" s="319"/>
      <c r="W342" s="319"/>
      <c r="X342" s="319"/>
      <c r="Y342" s="319"/>
      <c r="Z342" s="316" t="str">
        <f>IF(Y342="Yes","Please ensure the UI has been upgraded","")</f>
        <v/>
      </c>
    </row>
    <row r="343" spans="2:26" s="308" customFormat="1" ht="15.75" customHeight="1">
      <c r="B343" s="322"/>
      <c r="C343" s="315" t="s">
        <v>309</v>
      </c>
      <c r="D343" s="315">
        <f>B343</f>
        <v>0</v>
      </c>
      <c r="E343" s="322" t="s">
        <v>309</v>
      </c>
      <c r="F343" s="315" t="str">
        <f>IF(B343="","",B343)</f>
        <v/>
      </c>
      <c r="G343" s="323"/>
      <c r="H343" s="322"/>
      <c r="I343" s="315"/>
      <c r="J343" s="315"/>
      <c r="K343" s="322"/>
      <c r="L343" s="315"/>
      <c r="M343" s="313"/>
      <c r="N343" s="319" t="s">
        <v>16</v>
      </c>
      <c r="O343" s="319" t="s">
        <v>16</v>
      </c>
      <c r="P343" s="321"/>
      <c r="Q343" s="320"/>
      <c r="R343" s="313"/>
      <c r="S343" s="319"/>
      <c r="T343" s="319"/>
      <c r="U343" s="319"/>
      <c r="V343" s="319"/>
      <c r="W343" s="319"/>
      <c r="X343" s="319"/>
      <c r="Y343" s="319"/>
      <c r="Z343" s="316" t="str">
        <f>IF(Y343="Yes","Please ensure the UI has been upgraded","")</f>
        <v/>
      </c>
    </row>
    <row r="344" spans="2:26" s="308" customFormat="1" ht="15.75" customHeight="1">
      <c r="B344" s="322"/>
      <c r="C344" s="315" t="s">
        <v>309</v>
      </c>
      <c r="D344" s="315">
        <f>B344</f>
        <v>0</v>
      </c>
      <c r="E344" s="322" t="s">
        <v>309</v>
      </c>
      <c r="F344" s="315" t="str">
        <f>IF(B344="","",B344)</f>
        <v/>
      </c>
      <c r="G344" s="323"/>
      <c r="H344" s="322"/>
      <c r="I344" s="315"/>
      <c r="J344" s="315"/>
      <c r="K344" s="322"/>
      <c r="L344" s="315"/>
      <c r="M344" s="313"/>
      <c r="N344" s="319" t="s">
        <v>16</v>
      </c>
      <c r="O344" s="319" t="s">
        <v>16</v>
      </c>
      <c r="P344" s="321"/>
      <c r="Q344" s="320"/>
      <c r="R344" s="313"/>
      <c r="S344" s="319"/>
      <c r="T344" s="319"/>
      <c r="U344" s="319"/>
      <c r="V344" s="319"/>
      <c r="W344" s="319"/>
      <c r="X344" s="319"/>
      <c r="Y344" s="319"/>
      <c r="Z344" s="316" t="str">
        <f>IF(Y344="Yes","Please ensure the UI has been upgraded","")</f>
        <v/>
      </c>
    </row>
    <row r="345" spans="2:26" s="308" customFormat="1" ht="15.75" customHeight="1">
      <c r="B345" s="322"/>
      <c r="C345" s="315" t="s">
        <v>309</v>
      </c>
      <c r="D345" s="315">
        <f>B345</f>
        <v>0</v>
      </c>
      <c r="E345" s="322" t="s">
        <v>309</v>
      </c>
      <c r="F345" s="315" t="str">
        <f>IF(B345="","",B345)</f>
        <v/>
      </c>
      <c r="G345" s="323"/>
      <c r="H345" s="322"/>
      <c r="I345" s="315"/>
      <c r="J345" s="315"/>
      <c r="K345" s="322"/>
      <c r="L345" s="315"/>
      <c r="M345" s="313"/>
      <c r="N345" s="319" t="s">
        <v>16</v>
      </c>
      <c r="O345" s="319" t="s">
        <v>16</v>
      </c>
      <c r="P345" s="321"/>
      <c r="Q345" s="320"/>
      <c r="R345" s="313"/>
      <c r="S345" s="319"/>
      <c r="T345" s="319"/>
      <c r="U345" s="319"/>
      <c r="V345" s="319"/>
      <c r="W345" s="319"/>
      <c r="X345" s="319"/>
      <c r="Y345" s="319"/>
      <c r="Z345" s="316" t="str">
        <f>IF(Y345="Yes","Please ensure the UI has been upgraded","")</f>
        <v/>
      </c>
    </row>
    <row r="346" spans="2:26" s="308" customFormat="1" ht="15.75" customHeight="1">
      <c r="B346" s="322"/>
      <c r="C346" s="315" t="s">
        <v>309</v>
      </c>
      <c r="D346" s="315">
        <f>B346</f>
        <v>0</v>
      </c>
      <c r="E346" s="322" t="s">
        <v>309</v>
      </c>
      <c r="F346" s="315" t="str">
        <f>IF(B346="","",B346)</f>
        <v/>
      </c>
      <c r="G346" s="323"/>
      <c r="H346" s="322"/>
      <c r="I346" s="315"/>
      <c r="J346" s="315"/>
      <c r="K346" s="322"/>
      <c r="L346" s="315"/>
      <c r="M346" s="313"/>
      <c r="N346" s="319" t="s">
        <v>16</v>
      </c>
      <c r="O346" s="319" t="s">
        <v>16</v>
      </c>
      <c r="P346" s="321"/>
      <c r="Q346" s="320"/>
      <c r="R346" s="313"/>
      <c r="S346" s="319"/>
      <c r="T346" s="319"/>
      <c r="U346" s="319"/>
      <c r="V346" s="319"/>
      <c r="W346" s="319"/>
      <c r="X346" s="319"/>
      <c r="Y346" s="319"/>
      <c r="Z346" s="316" t="str">
        <f>IF(Y346="Yes","Please ensure the UI has been upgraded","")</f>
        <v/>
      </c>
    </row>
    <row r="347" spans="2:26" s="308" customFormat="1" ht="15.75" customHeight="1">
      <c r="B347" s="322"/>
      <c r="C347" s="315" t="s">
        <v>309</v>
      </c>
      <c r="D347" s="315">
        <f>B347</f>
        <v>0</v>
      </c>
      <c r="E347" s="322" t="s">
        <v>309</v>
      </c>
      <c r="F347" s="315" t="str">
        <f>IF(B347="","",B347)</f>
        <v/>
      </c>
      <c r="G347" s="323"/>
      <c r="H347" s="322"/>
      <c r="I347" s="315"/>
      <c r="J347" s="315"/>
      <c r="K347" s="322"/>
      <c r="L347" s="315"/>
      <c r="M347" s="313"/>
      <c r="N347" s="319" t="s">
        <v>16</v>
      </c>
      <c r="O347" s="319" t="s">
        <v>16</v>
      </c>
      <c r="P347" s="321"/>
      <c r="Q347" s="320"/>
      <c r="R347" s="313"/>
      <c r="S347" s="319"/>
      <c r="T347" s="319"/>
      <c r="U347" s="319"/>
      <c r="V347" s="319"/>
      <c r="W347" s="319"/>
      <c r="X347" s="319"/>
      <c r="Y347" s="319"/>
      <c r="Z347" s="316" t="str">
        <f>IF(Y347="Yes","Please ensure the UI has been upgraded","")</f>
        <v/>
      </c>
    </row>
    <row r="348" spans="2:26" s="308" customFormat="1" ht="15.75" customHeight="1">
      <c r="B348" s="322"/>
      <c r="C348" s="315" t="s">
        <v>309</v>
      </c>
      <c r="D348" s="315">
        <f>B348</f>
        <v>0</v>
      </c>
      <c r="E348" s="322" t="s">
        <v>309</v>
      </c>
      <c r="F348" s="315" t="str">
        <f>IF(B348="","",B348)</f>
        <v/>
      </c>
      <c r="G348" s="323"/>
      <c r="H348" s="322"/>
      <c r="I348" s="315"/>
      <c r="J348" s="315"/>
      <c r="K348" s="322"/>
      <c r="L348" s="315"/>
      <c r="M348" s="313"/>
      <c r="N348" s="319" t="s">
        <v>16</v>
      </c>
      <c r="O348" s="319" t="s">
        <v>16</v>
      </c>
      <c r="P348" s="321"/>
      <c r="Q348" s="320"/>
      <c r="R348" s="313"/>
      <c r="S348" s="319"/>
      <c r="T348" s="319"/>
      <c r="U348" s="319"/>
      <c r="V348" s="319"/>
      <c r="W348" s="319"/>
      <c r="X348" s="319"/>
      <c r="Y348" s="319"/>
      <c r="Z348" s="316" t="str">
        <f>IF(Y348="Yes","Please ensure the UI has been upgraded","")</f>
        <v/>
      </c>
    </row>
    <row r="349" spans="2:26" s="308" customFormat="1" ht="15.75" customHeight="1">
      <c r="B349" s="322"/>
      <c r="C349" s="315" t="s">
        <v>309</v>
      </c>
      <c r="D349" s="315">
        <f>B349</f>
        <v>0</v>
      </c>
      <c r="E349" s="322" t="s">
        <v>309</v>
      </c>
      <c r="F349" s="315" t="str">
        <f>IF(B349="","",B349)</f>
        <v/>
      </c>
      <c r="G349" s="323"/>
      <c r="H349" s="322"/>
      <c r="I349" s="315"/>
      <c r="J349" s="315"/>
      <c r="K349" s="322"/>
      <c r="L349" s="315"/>
      <c r="M349" s="313"/>
      <c r="N349" s="319" t="s">
        <v>16</v>
      </c>
      <c r="O349" s="319" t="s">
        <v>16</v>
      </c>
      <c r="P349" s="321"/>
      <c r="Q349" s="320"/>
      <c r="R349" s="313"/>
      <c r="S349" s="319"/>
      <c r="T349" s="319"/>
      <c r="U349" s="319"/>
      <c r="V349" s="319"/>
      <c r="W349" s="319"/>
      <c r="X349" s="319"/>
      <c r="Y349" s="319"/>
      <c r="Z349" s="316" t="str">
        <f>IF(Y349="Yes","Please ensure the UI has been upgraded","")</f>
        <v/>
      </c>
    </row>
    <row r="350" spans="2:26" s="308" customFormat="1" ht="15.75" customHeight="1">
      <c r="B350" s="322"/>
      <c r="C350" s="315" t="s">
        <v>309</v>
      </c>
      <c r="D350" s="315">
        <f>B350</f>
        <v>0</v>
      </c>
      <c r="E350" s="322" t="s">
        <v>309</v>
      </c>
      <c r="F350" s="315" t="str">
        <f>IF(B350="","",B350)</f>
        <v/>
      </c>
      <c r="G350" s="323"/>
      <c r="H350" s="322"/>
      <c r="I350" s="315"/>
      <c r="J350" s="315"/>
      <c r="K350" s="322"/>
      <c r="L350" s="315"/>
      <c r="M350" s="313"/>
      <c r="N350" s="319" t="s">
        <v>16</v>
      </c>
      <c r="O350" s="319" t="s">
        <v>16</v>
      </c>
      <c r="P350" s="321"/>
      <c r="Q350" s="320"/>
      <c r="R350" s="313"/>
      <c r="S350" s="319"/>
      <c r="T350" s="319"/>
      <c r="U350" s="319"/>
      <c r="V350" s="319"/>
      <c r="W350" s="319"/>
      <c r="X350" s="319"/>
      <c r="Y350" s="319"/>
      <c r="Z350" s="316" t="str">
        <f>IF(Y350="Yes","Please ensure the UI has been upgraded","")</f>
        <v/>
      </c>
    </row>
    <row r="351" spans="2:26" s="308" customFormat="1" ht="15.75" customHeight="1">
      <c r="B351" s="322"/>
      <c r="C351" s="315" t="s">
        <v>309</v>
      </c>
      <c r="D351" s="315">
        <f>B351</f>
        <v>0</v>
      </c>
      <c r="E351" s="322" t="s">
        <v>309</v>
      </c>
      <c r="F351" s="315" t="str">
        <f>IF(B351="","",B351)</f>
        <v/>
      </c>
      <c r="G351" s="323"/>
      <c r="H351" s="322"/>
      <c r="I351" s="315"/>
      <c r="J351" s="315"/>
      <c r="K351" s="322"/>
      <c r="L351" s="315"/>
      <c r="M351" s="313"/>
      <c r="N351" s="319" t="s">
        <v>16</v>
      </c>
      <c r="O351" s="319" t="s">
        <v>16</v>
      </c>
      <c r="P351" s="321"/>
      <c r="Q351" s="320"/>
      <c r="R351" s="313"/>
      <c r="S351" s="319"/>
      <c r="T351" s="319"/>
      <c r="U351" s="319"/>
      <c r="V351" s="319"/>
      <c r="W351" s="319"/>
      <c r="X351" s="319"/>
      <c r="Y351" s="319"/>
      <c r="Z351" s="316" t="str">
        <f>IF(Y351="Yes","Please ensure the UI has been upgraded","")</f>
        <v/>
      </c>
    </row>
    <row r="352" spans="2:26" s="308" customFormat="1" ht="15.75" customHeight="1">
      <c r="B352" s="322"/>
      <c r="C352" s="315" t="s">
        <v>309</v>
      </c>
      <c r="D352" s="315">
        <f>B352</f>
        <v>0</v>
      </c>
      <c r="E352" s="322" t="s">
        <v>309</v>
      </c>
      <c r="F352" s="315" t="str">
        <f>IF(B352="","",B352)</f>
        <v/>
      </c>
      <c r="G352" s="323"/>
      <c r="H352" s="322"/>
      <c r="I352" s="315"/>
      <c r="J352" s="315"/>
      <c r="K352" s="322"/>
      <c r="L352" s="315"/>
      <c r="M352" s="313"/>
      <c r="N352" s="319" t="s">
        <v>16</v>
      </c>
      <c r="O352" s="319" t="s">
        <v>16</v>
      </c>
      <c r="P352" s="321"/>
      <c r="Q352" s="320"/>
      <c r="R352" s="313"/>
      <c r="S352" s="319"/>
      <c r="T352" s="319"/>
      <c r="U352" s="319"/>
      <c r="V352" s="319"/>
      <c r="W352" s="319"/>
      <c r="X352" s="319"/>
      <c r="Y352" s="319"/>
      <c r="Z352" s="316" t="str">
        <f>IF(Y352="Yes","Please ensure the UI has been upgraded","")</f>
        <v/>
      </c>
    </row>
    <row r="353" spans="2:26" s="308" customFormat="1" ht="15.75" customHeight="1">
      <c r="B353" s="322"/>
      <c r="C353" s="315" t="s">
        <v>309</v>
      </c>
      <c r="D353" s="315">
        <f>B353</f>
        <v>0</v>
      </c>
      <c r="E353" s="322" t="s">
        <v>309</v>
      </c>
      <c r="F353" s="315" t="str">
        <f>IF(B353="","",B353)</f>
        <v/>
      </c>
      <c r="G353" s="323"/>
      <c r="H353" s="322"/>
      <c r="I353" s="315"/>
      <c r="J353" s="315"/>
      <c r="K353" s="322"/>
      <c r="L353" s="315"/>
      <c r="M353" s="313"/>
      <c r="N353" s="319" t="s">
        <v>16</v>
      </c>
      <c r="O353" s="319" t="s">
        <v>16</v>
      </c>
      <c r="P353" s="321"/>
      <c r="Q353" s="320"/>
      <c r="R353" s="313"/>
      <c r="S353" s="319"/>
      <c r="T353" s="319"/>
      <c r="U353" s="319"/>
      <c r="V353" s="319"/>
      <c r="W353" s="319"/>
      <c r="X353" s="319"/>
      <c r="Y353" s="319"/>
      <c r="Z353" s="316" t="str">
        <f>IF(Y353="Yes","Please ensure the UI has been upgraded","")</f>
        <v/>
      </c>
    </row>
    <row r="354" spans="2:26" s="308" customFormat="1" ht="15.75" customHeight="1">
      <c r="B354" s="322"/>
      <c r="C354" s="315" t="s">
        <v>309</v>
      </c>
      <c r="D354" s="315">
        <f>B354</f>
        <v>0</v>
      </c>
      <c r="E354" s="322" t="s">
        <v>309</v>
      </c>
      <c r="F354" s="315" t="str">
        <f>IF(B354="","",B354)</f>
        <v/>
      </c>
      <c r="G354" s="323"/>
      <c r="H354" s="322"/>
      <c r="I354" s="315"/>
      <c r="J354" s="315"/>
      <c r="K354" s="322"/>
      <c r="L354" s="315"/>
      <c r="M354" s="313"/>
      <c r="N354" s="319" t="s">
        <v>16</v>
      </c>
      <c r="O354" s="319" t="s">
        <v>16</v>
      </c>
      <c r="P354" s="321"/>
      <c r="Q354" s="320"/>
      <c r="R354" s="313"/>
      <c r="S354" s="319"/>
      <c r="T354" s="319"/>
      <c r="U354" s="319"/>
      <c r="V354" s="319"/>
      <c r="W354" s="319"/>
      <c r="X354" s="319"/>
      <c r="Y354" s="319"/>
      <c r="Z354" s="316"/>
    </row>
    <row r="355" spans="2:26" s="308" customFormat="1" ht="15.75" customHeight="1">
      <c r="B355" s="322"/>
      <c r="C355" s="315" t="s">
        <v>309</v>
      </c>
      <c r="D355" s="315">
        <f>B355</f>
        <v>0</v>
      </c>
      <c r="E355" s="322" t="s">
        <v>309</v>
      </c>
      <c r="F355" s="315" t="str">
        <f>IF(B355="","",B355)</f>
        <v/>
      </c>
      <c r="G355" s="323"/>
      <c r="H355" s="322"/>
      <c r="I355" s="315"/>
      <c r="J355" s="315"/>
      <c r="K355" s="322"/>
      <c r="L355" s="315"/>
      <c r="M355" s="313"/>
      <c r="N355" s="319" t="s">
        <v>16</v>
      </c>
      <c r="O355" s="319" t="s">
        <v>16</v>
      </c>
      <c r="P355" s="321"/>
      <c r="Q355" s="320"/>
      <c r="R355" s="313"/>
      <c r="S355" s="319"/>
      <c r="T355" s="319"/>
      <c r="U355" s="319"/>
      <c r="V355" s="319"/>
      <c r="W355" s="319"/>
      <c r="X355" s="319"/>
      <c r="Y355" s="319"/>
      <c r="Z355" s="316"/>
    </row>
    <row r="356" spans="2:26" s="308" customFormat="1" ht="15.75" customHeight="1">
      <c r="B356" s="322"/>
      <c r="C356" s="315" t="s">
        <v>309</v>
      </c>
      <c r="D356" s="315">
        <f>B356</f>
        <v>0</v>
      </c>
      <c r="E356" s="322" t="s">
        <v>309</v>
      </c>
      <c r="F356" s="315" t="str">
        <f>IF(B356="","",B356)</f>
        <v/>
      </c>
      <c r="G356" s="323"/>
      <c r="H356" s="322"/>
      <c r="I356" s="315"/>
      <c r="J356" s="315"/>
      <c r="K356" s="322"/>
      <c r="L356" s="315"/>
      <c r="M356" s="313"/>
      <c r="N356" s="319" t="s">
        <v>16</v>
      </c>
      <c r="O356" s="319" t="s">
        <v>16</v>
      </c>
      <c r="P356" s="321"/>
      <c r="Q356" s="320"/>
      <c r="R356" s="313"/>
      <c r="S356" s="319"/>
      <c r="T356" s="319"/>
      <c r="U356" s="319"/>
      <c r="V356" s="319"/>
      <c r="W356" s="319"/>
      <c r="X356" s="319"/>
      <c r="Y356" s="319"/>
      <c r="Z356" s="316" t="str">
        <f>IF(Y356="Yes","Please ensure the UI has been upgraded","")</f>
        <v/>
      </c>
    </row>
    <row r="357" spans="2:26" s="308" customFormat="1" ht="15.75" customHeight="1">
      <c r="B357" s="322"/>
      <c r="C357" s="315" t="s">
        <v>309</v>
      </c>
      <c r="D357" s="315">
        <f>B357</f>
        <v>0</v>
      </c>
      <c r="E357" s="322" t="s">
        <v>309</v>
      </c>
      <c r="F357" s="315" t="str">
        <f>IF(B357="","",B357)</f>
        <v/>
      </c>
      <c r="G357" s="323"/>
      <c r="H357" s="322"/>
      <c r="I357" s="315"/>
      <c r="J357" s="315"/>
      <c r="K357" s="322"/>
      <c r="L357" s="315"/>
      <c r="M357" s="313"/>
      <c r="N357" s="319" t="s">
        <v>16</v>
      </c>
      <c r="O357" s="319" t="s">
        <v>16</v>
      </c>
      <c r="P357" s="321"/>
      <c r="Q357" s="320"/>
      <c r="R357" s="313"/>
      <c r="S357" s="319"/>
      <c r="T357" s="319"/>
      <c r="U357" s="319"/>
      <c r="V357" s="319"/>
      <c r="W357" s="319"/>
      <c r="X357" s="319"/>
      <c r="Y357" s="319"/>
      <c r="Z357" s="316" t="str">
        <f>IF(Y357="Yes","Please ensure the UI has been upgraded","")</f>
        <v/>
      </c>
    </row>
    <row r="358" spans="2:26" s="308" customFormat="1" ht="15.75" customHeight="1">
      <c r="B358" s="322"/>
      <c r="C358" s="315" t="s">
        <v>309</v>
      </c>
      <c r="D358" s="315">
        <f>B358</f>
        <v>0</v>
      </c>
      <c r="E358" s="322" t="s">
        <v>309</v>
      </c>
      <c r="F358" s="315" t="str">
        <f>IF(B358="","",B358)</f>
        <v/>
      </c>
      <c r="G358" s="323"/>
      <c r="H358" s="322"/>
      <c r="I358" s="315"/>
      <c r="J358" s="315"/>
      <c r="K358" s="322"/>
      <c r="L358" s="315"/>
      <c r="M358" s="313"/>
      <c r="N358" s="319" t="s">
        <v>16</v>
      </c>
      <c r="O358" s="319" t="s">
        <v>16</v>
      </c>
      <c r="P358" s="321"/>
      <c r="Q358" s="320"/>
      <c r="R358" s="313"/>
      <c r="S358" s="319"/>
      <c r="T358" s="319"/>
      <c r="U358" s="319"/>
      <c r="V358" s="319"/>
      <c r="W358" s="319"/>
      <c r="X358" s="319"/>
      <c r="Y358" s="319"/>
      <c r="Z358" s="316" t="str">
        <f>IF(Y358="Yes","Please ensure the UI has been upgraded","")</f>
        <v/>
      </c>
    </row>
    <row r="359" spans="2:26" s="308" customFormat="1" ht="15.75" customHeight="1">
      <c r="B359" s="322"/>
      <c r="C359" s="315" t="s">
        <v>309</v>
      </c>
      <c r="D359" s="315">
        <f>B359</f>
        <v>0</v>
      </c>
      <c r="E359" s="322" t="s">
        <v>309</v>
      </c>
      <c r="F359" s="315" t="str">
        <f>IF(B359="","",B359)</f>
        <v/>
      </c>
      <c r="G359" s="323"/>
      <c r="H359" s="322"/>
      <c r="I359" s="315"/>
      <c r="J359" s="315"/>
      <c r="K359" s="322"/>
      <c r="L359" s="315"/>
      <c r="M359" s="313"/>
      <c r="N359" s="319" t="s">
        <v>16</v>
      </c>
      <c r="O359" s="319" t="s">
        <v>16</v>
      </c>
      <c r="P359" s="321"/>
      <c r="Q359" s="320"/>
      <c r="R359" s="313"/>
      <c r="S359" s="319"/>
      <c r="T359" s="319"/>
      <c r="U359" s="319"/>
      <c r="V359" s="319"/>
      <c r="W359" s="319"/>
      <c r="X359" s="319"/>
      <c r="Y359" s="319"/>
      <c r="Z359" s="316" t="str">
        <f>IF(Y359="Yes","Please ensure the UI has been upgraded","")</f>
        <v/>
      </c>
    </row>
    <row r="360" spans="2:26" s="308" customFormat="1" ht="15.75" customHeight="1">
      <c r="B360" s="322"/>
      <c r="C360" s="315" t="s">
        <v>309</v>
      </c>
      <c r="D360" s="315">
        <f>B360</f>
        <v>0</v>
      </c>
      <c r="E360" s="322" t="s">
        <v>309</v>
      </c>
      <c r="F360" s="315" t="str">
        <f>IF(B360="","",B360)</f>
        <v/>
      </c>
      <c r="G360" s="323"/>
      <c r="H360" s="322"/>
      <c r="I360" s="315"/>
      <c r="J360" s="315"/>
      <c r="K360" s="322"/>
      <c r="L360" s="315"/>
      <c r="M360" s="313"/>
      <c r="N360" s="319" t="s">
        <v>16</v>
      </c>
      <c r="O360" s="319" t="s">
        <v>16</v>
      </c>
      <c r="P360" s="321"/>
      <c r="Q360" s="320"/>
      <c r="R360" s="313"/>
      <c r="S360" s="319"/>
      <c r="T360" s="319"/>
      <c r="U360" s="319"/>
      <c r="V360" s="319"/>
      <c r="W360" s="319"/>
      <c r="X360" s="319"/>
      <c r="Y360" s="319"/>
      <c r="Z360" s="316" t="str">
        <f>IF(Y360="Yes","Please ensure the UI has been upgraded","")</f>
        <v/>
      </c>
    </row>
    <row r="361" spans="2:26" s="308" customFormat="1" ht="15.75" customHeight="1">
      <c r="B361" s="322"/>
      <c r="C361" s="315" t="s">
        <v>309</v>
      </c>
      <c r="D361" s="315">
        <f>B361</f>
        <v>0</v>
      </c>
      <c r="E361" s="322" t="s">
        <v>309</v>
      </c>
      <c r="F361" s="315" t="str">
        <f>IF(B361="","",B361)</f>
        <v/>
      </c>
      <c r="G361" s="323"/>
      <c r="H361" s="322"/>
      <c r="I361" s="315"/>
      <c r="J361" s="315"/>
      <c r="K361" s="322"/>
      <c r="L361" s="315"/>
      <c r="M361" s="313"/>
      <c r="N361" s="319" t="s">
        <v>16</v>
      </c>
      <c r="O361" s="319" t="s">
        <v>16</v>
      </c>
      <c r="P361" s="321"/>
      <c r="Q361" s="320"/>
      <c r="R361" s="313"/>
      <c r="S361" s="319"/>
      <c r="T361" s="319"/>
      <c r="U361" s="319"/>
      <c r="V361" s="319"/>
      <c r="W361" s="319"/>
      <c r="X361" s="319"/>
      <c r="Y361" s="319"/>
      <c r="Z361" s="316" t="str">
        <f>IF(Y361="Yes","Please ensure the UI has been upgraded","")</f>
        <v/>
      </c>
    </row>
    <row r="362" spans="2:26" s="308" customFormat="1" ht="15.75" customHeight="1">
      <c r="B362" s="322"/>
      <c r="C362" s="315" t="s">
        <v>309</v>
      </c>
      <c r="D362" s="315">
        <f>B362</f>
        <v>0</v>
      </c>
      <c r="E362" s="322" t="s">
        <v>309</v>
      </c>
      <c r="F362" s="315" t="str">
        <f>IF(B362="","",B362)</f>
        <v/>
      </c>
      <c r="G362" s="323"/>
      <c r="H362" s="322"/>
      <c r="I362" s="315"/>
      <c r="J362" s="315"/>
      <c r="K362" s="322"/>
      <c r="L362" s="315"/>
      <c r="M362" s="313"/>
      <c r="N362" s="319" t="s">
        <v>16</v>
      </c>
      <c r="O362" s="319" t="s">
        <v>16</v>
      </c>
      <c r="P362" s="321"/>
      <c r="Q362" s="320"/>
      <c r="R362" s="313"/>
      <c r="S362" s="319"/>
      <c r="T362" s="319"/>
      <c r="U362" s="319"/>
      <c r="V362" s="319"/>
      <c r="W362" s="319"/>
      <c r="X362" s="319"/>
      <c r="Y362" s="319"/>
      <c r="Z362" s="316" t="str">
        <f>IF(Y362="Yes","Please ensure the UI has been upgraded","")</f>
        <v/>
      </c>
    </row>
    <row r="363" spans="2:26" s="308" customFormat="1" ht="15.75" customHeight="1">
      <c r="B363" s="322"/>
      <c r="C363" s="315" t="s">
        <v>309</v>
      </c>
      <c r="D363" s="315">
        <f>B363</f>
        <v>0</v>
      </c>
      <c r="E363" s="322" t="s">
        <v>309</v>
      </c>
      <c r="F363" s="315" t="str">
        <f>IF(B363="","",B363)</f>
        <v/>
      </c>
      <c r="G363" s="323"/>
      <c r="H363" s="322"/>
      <c r="I363" s="315"/>
      <c r="J363" s="315"/>
      <c r="K363" s="322"/>
      <c r="L363" s="315"/>
      <c r="M363" s="313"/>
      <c r="N363" s="319" t="s">
        <v>16</v>
      </c>
      <c r="O363" s="319" t="s">
        <v>16</v>
      </c>
      <c r="P363" s="321"/>
      <c r="Q363" s="320"/>
      <c r="R363" s="313"/>
      <c r="S363" s="319"/>
      <c r="T363" s="319"/>
      <c r="U363" s="319"/>
      <c r="V363" s="319"/>
      <c r="W363" s="319"/>
      <c r="X363" s="319"/>
      <c r="Y363" s="319"/>
      <c r="Z363" s="316" t="str">
        <f>IF(Y363="Yes","Please ensure the UI has been upgraded","")</f>
        <v/>
      </c>
    </row>
    <row r="364" spans="2:26" s="308" customFormat="1" ht="15.75" customHeight="1">
      <c r="B364" s="322"/>
      <c r="C364" s="315" t="s">
        <v>309</v>
      </c>
      <c r="D364" s="315">
        <f>B364</f>
        <v>0</v>
      </c>
      <c r="E364" s="322" t="s">
        <v>309</v>
      </c>
      <c r="F364" s="315" t="str">
        <f>IF(B364="","",B364)</f>
        <v/>
      </c>
      <c r="G364" s="323"/>
      <c r="H364" s="322"/>
      <c r="I364" s="315"/>
      <c r="J364" s="315"/>
      <c r="K364" s="322"/>
      <c r="L364" s="315"/>
      <c r="M364" s="313"/>
      <c r="N364" s="319" t="s">
        <v>16</v>
      </c>
      <c r="O364" s="319" t="s">
        <v>16</v>
      </c>
      <c r="P364" s="321"/>
      <c r="Q364" s="320"/>
      <c r="R364" s="313"/>
      <c r="S364" s="319"/>
      <c r="T364" s="319"/>
      <c r="U364" s="319"/>
      <c r="V364" s="319"/>
      <c r="W364" s="319"/>
      <c r="X364" s="319"/>
      <c r="Y364" s="319"/>
      <c r="Z364" s="316" t="str">
        <f>IF(Y364="Yes","Please ensure the UI has been upgraded","")</f>
        <v/>
      </c>
    </row>
    <row r="365" spans="2:26" s="308" customFormat="1" ht="15.75" customHeight="1">
      <c r="B365" s="322"/>
      <c r="C365" s="315" t="s">
        <v>309</v>
      </c>
      <c r="D365" s="315">
        <f>B365</f>
        <v>0</v>
      </c>
      <c r="E365" s="322" t="s">
        <v>309</v>
      </c>
      <c r="F365" s="315" t="str">
        <f>IF(B365="","",B365)</f>
        <v/>
      </c>
      <c r="G365" s="323"/>
      <c r="H365" s="322"/>
      <c r="I365" s="315"/>
      <c r="J365" s="315"/>
      <c r="K365" s="322"/>
      <c r="L365" s="315"/>
      <c r="M365" s="313"/>
      <c r="N365" s="319" t="s">
        <v>16</v>
      </c>
      <c r="O365" s="319" t="s">
        <v>16</v>
      </c>
      <c r="P365" s="321"/>
      <c r="Q365" s="320"/>
      <c r="R365" s="313"/>
      <c r="S365" s="319"/>
      <c r="T365" s="319"/>
      <c r="U365" s="319"/>
      <c r="V365" s="319"/>
      <c r="W365" s="319"/>
      <c r="X365" s="319"/>
      <c r="Y365" s="319"/>
      <c r="Z365" s="316" t="str">
        <f>IF(Y365="Yes","Please ensure the UI has been upgraded","")</f>
        <v/>
      </c>
    </row>
    <row r="366" spans="2:26" s="308" customFormat="1" ht="15.75" customHeight="1">
      <c r="B366" s="322"/>
      <c r="C366" s="315" t="s">
        <v>309</v>
      </c>
      <c r="D366" s="315">
        <f>B366</f>
        <v>0</v>
      </c>
      <c r="E366" s="322" t="s">
        <v>309</v>
      </c>
      <c r="F366" s="315" t="str">
        <f>IF(B366="","",B366)</f>
        <v/>
      </c>
      <c r="G366" s="323"/>
      <c r="H366" s="322"/>
      <c r="I366" s="315"/>
      <c r="J366" s="315"/>
      <c r="K366" s="322"/>
      <c r="L366" s="315"/>
      <c r="M366" s="313"/>
      <c r="N366" s="319" t="s">
        <v>16</v>
      </c>
      <c r="O366" s="319" t="s">
        <v>16</v>
      </c>
      <c r="P366" s="321"/>
      <c r="Q366" s="320"/>
      <c r="R366" s="313"/>
      <c r="S366" s="319"/>
      <c r="T366" s="319"/>
      <c r="U366" s="319"/>
      <c r="V366" s="319"/>
      <c r="W366" s="319"/>
      <c r="X366" s="319"/>
      <c r="Y366" s="319"/>
      <c r="Z366" s="316" t="str">
        <f>IF(Y366="Yes","Please ensure the UI has been upgraded","")</f>
        <v/>
      </c>
    </row>
    <row r="367" spans="2:26" s="308" customFormat="1" ht="15.75" customHeight="1">
      <c r="B367" s="322"/>
      <c r="C367" s="315" t="s">
        <v>309</v>
      </c>
      <c r="D367" s="315">
        <f>B367</f>
        <v>0</v>
      </c>
      <c r="E367" s="322" t="s">
        <v>309</v>
      </c>
      <c r="F367" s="315" t="str">
        <f>IF(B367="","",B367)</f>
        <v/>
      </c>
      <c r="G367" s="323"/>
      <c r="H367" s="322"/>
      <c r="I367" s="315"/>
      <c r="J367" s="315"/>
      <c r="K367" s="322"/>
      <c r="L367" s="315"/>
      <c r="M367" s="313"/>
      <c r="N367" s="319" t="s">
        <v>16</v>
      </c>
      <c r="O367" s="319" t="s">
        <v>16</v>
      </c>
      <c r="P367" s="321"/>
      <c r="Q367" s="320"/>
      <c r="R367" s="313"/>
      <c r="S367" s="319"/>
      <c r="T367" s="319"/>
      <c r="U367" s="319"/>
      <c r="V367" s="319"/>
      <c r="W367" s="319"/>
      <c r="X367" s="319"/>
      <c r="Y367" s="319"/>
      <c r="Z367" s="316" t="str">
        <f>IF(Y367="Yes","Please ensure the UI has been upgraded","")</f>
        <v/>
      </c>
    </row>
    <row r="368" spans="2:26" s="308" customFormat="1" ht="15.75" customHeight="1">
      <c r="B368" s="322"/>
      <c r="C368" s="315" t="s">
        <v>309</v>
      </c>
      <c r="D368" s="315">
        <f>B368</f>
        <v>0</v>
      </c>
      <c r="E368" s="322" t="s">
        <v>309</v>
      </c>
      <c r="F368" s="315" t="str">
        <f>IF(B368="","",B368)</f>
        <v/>
      </c>
      <c r="G368" s="323"/>
      <c r="H368" s="322"/>
      <c r="I368" s="315"/>
      <c r="J368" s="315"/>
      <c r="K368" s="322"/>
      <c r="L368" s="315"/>
      <c r="M368" s="313"/>
      <c r="N368" s="319" t="s">
        <v>16</v>
      </c>
      <c r="O368" s="319" t="s">
        <v>16</v>
      </c>
      <c r="P368" s="321"/>
      <c r="Q368" s="320"/>
      <c r="R368" s="313"/>
      <c r="S368" s="319"/>
      <c r="T368" s="319"/>
      <c r="U368" s="319"/>
      <c r="V368" s="319"/>
      <c r="W368" s="319"/>
      <c r="X368" s="319"/>
      <c r="Y368" s="319"/>
      <c r="Z368" s="316" t="str">
        <f>IF(Y368="Yes","Please ensure the UI has been upgraded","")</f>
        <v/>
      </c>
    </row>
    <row r="369" spans="2:26" s="308" customFormat="1" ht="15.75" customHeight="1">
      <c r="B369" s="322"/>
      <c r="C369" s="315" t="s">
        <v>309</v>
      </c>
      <c r="D369" s="315">
        <f>B369</f>
        <v>0</v>
      </c>
      <c r="E369" s="322" t="s">
        <v>309</v>
      </c>
      <c r="F369" s="315" t="str">
        <f>IF(B369="","",B369)</f>
        <v/>
      </c>
      <c r="G369" s="323"/>
      <c r="H369" s="322"/>
      <c r="I369" s="315"/>
      <c r="J369" s="315"/>
      <c r="K369" s="322"/>
      <c r="L369" s="315"/>
      <c r="M369" s="313"/>
      <c r="N369" s="319" t="s">
        <v>16</v>
      </c>
      <c r="O369" s="319" t="s">
        <v>16</v>
      </c>
      <c r="P369" s="321"/>
      <c r="Q369" s="320"/>
      <c r="R369" s="313"/>
      <c r="S369" s="319"/>
      <c r="T369" s="319"/>
      <c r="U369" s="319"/>
      <c r="V369" s="319"/>
      <c r="W369" s="319"/>
      <c r="X369" s="319"/>
      <c r="Y369" s="319"/>
      <c r="Z369" s="316" t="str">
        <f>IF(Y369="Yes","Please ensure the UI has been upgraded","")</f>
        <v/>
      </c>
    </row>
    <row r="370" spans="2:26" s="308" customFormat="1" ht="15.75" customHeight="1">
      <c r="B370" s="322"/>
      <c r="C370" s="315" t="s">
        <v>309</v>
      </c>
      <c r="D370" s="315">
        <f>B370</f>
        <v>0</v>
      </c>
      <c r="E370" s="322" t="s">
        <v>309</v>
      </c>
      <c r="F370" s="315" t="str">
        <f>IF(B370="","",B370)</f>
        <v/>
      </c>
      <c r="G370" s="323"/>
      <c r="H370" s="322"/>
      <c r="I370" s="315"/>
      <c r="J370" s="315"/>
      <c r="K370" s="322"/>
      <c r="L370" s="315"/>
      <c r="M370" s="313"/>
      <c r="N370" s="319" t="s">
        <v>16</v>
      </c>
      <c r="O370" s="319" t="s">
        <v>16</v>
      </c>
      <c r="P370" s="321"/>
      <c r="Q370" s="320"/>
      <c r="R370" s="313"/>
      <c r="S370" s="319"/>
      <c r="T370" s="319"/>
      <c r="U370" s="319"/>
      <c r="V370" s="319"/>
      <c r="W370" s="319"/>
      <c r="X370" s="319"/>
      <c r="Y370" s="319"/>
      <c r="Z370" s="316" t="str">
        <f>IF(Y370="Yes","Please ensure the UI has been upgraded","")</f>
        <v/>
      </c>
    </row>
    <row r="371" spans="2:26" s="308" customFormat="1" ht="15.75" customHeight="1">
      <c r="B371" s="322"/>
      <c r="C371" s="315" t="s">
        <v>309</v>
      </c>
      <c r="D371" s="315">
        <f>B371</f>
        <v>0</v>
      </c>
      <c r="E371" s="322" t="s">
        <v>309</v>
      </c>
      <c r="F371" s="315" t="str">
        <f>IF(B371="","",B371)</f>
        <v/>
      </c>
      <c r="G371" s="323"/>
      <c r="H371" s="322"/>
      <c r="I371" s="315"/>
      <c r="J371" s="315"/>
      <c r="K371" s="322"/>
      <c r="L371" s="315"/>
      <c r="M371" s="313"/>
      <c r="N371" s="319" t="s">
        <v>16</v>
      </c>
      <c r="O371" s="319" t="s">
        <v>16</v>
      </c>
      <c r="P371" s="321"/>
      <c r="Q371" s="320"/>
      <c r="R371" s="313"/>
      <c r="S371" s="319"/>
      <c r="T371" s="319"/>
      <c r="U371" s="319"/>
      <c r="V371" s="319"/>
      <c r="W371" s="319"/>
      <c r="X371" s="319"/>
      <c r="Y371" s="319"/>
      <c r="Z371" s="316" t="str">
        <f>IF(Y371="Yes","Please ensure the UI has been upgraded","")</f>
        <v/>
      </c>
    </row>
    <row r="372" spans="2:26" s="308" customFormat="1" ht="15.75" customHeight="1">
      <c r="B372" s="322"/>
      <c r="C372" s="315" t="s">
        <v>309</v>
      </c>
      <c r="D372" s="315">
        <f>B372</f>
        <v>0</v>
      </c>
      <c r="E372" s="322" t="s">
        <v>309</v>
      </c>
      <c r="F372" s="315" t="str">
        <f>IF(B372="","",B372)</f>
        <v/>
      </c>
      <c r="G372" s="323"/>
      <c r="H372" s="322"/>
      <c r="I372" s="315"/>
      <c r="J372" s="315"/>
      <c r="K372" s="322"/>
      <c r="L372" s="315"/>
      <c r="M372" s="313"/>
      <c r="N372" s="319" t="s">
        <v>16</v>
      </c>
      <c r="O372" s="319" t="s">
        <v>16</v>
      </c>
      <c r="P372" s="321"/>
      <c r="Q372" s="320"/>
      <c r="R372" s="313"/>
      <c r="S372" s="319"/>
      <c r="T372" s="319"/>
      <c r="U372" s="319"/>
      <c r="V372" s="319"/>
      <c r="W372" s="319"/>
      <c r="X372" s="319"/>
      <c r="Y372" s="319"/>
      <c r="Z372" s="316"/>
    </row>
    <row r="373" spans="2:26" s="308" customFormat="1" ht="15.75" customHeight="1">
      <c r="B373" s="322"/>
      <c r="C373" s="315" t="s">
        <v>309</v>
      </c>
      <c r="D373" s="315">
        <f>B373</f>
        <v>0</v>
      </c>
      <c r="E373" s="322" t="s">
        <v>309</v>
      </c>
      <c r="F373" s="315" t="str">
        <f>IF(B373="","",B373)</f>
        <v/>
      </c>
      <c r="G373" s="323"/>
      <c r="H373" s="322"/>
      <c r="I373" s="315"/>
      <c r="J373" s="315"/>
      <c r="K373" s="322"/>
      <c r="L373" s="315"/>
      <c r="M373" s="313"/>
      <c r="N373" s="319" t="s">
        <v>16</v>
      </c>
      <c r="O373" s="319" t="s">
        <v>16</v>
      </c>
      <c r="P373" s="321"/>
      <c r="Q373" s="320"/>
      <c r="R373" s="313"/>
      <c r="S373" s="319"/>
      <c r="T373" s="319"/>
      <c r="U373" s="319"/>
      <c r="V373" s="319"/>
      <c r="W373" s="319"/>
      <c r="X373" s="319"/>
      <c r="Y373" s="319"/>
      <c r="Z373" s="316"/>
    </row>
    <row r="374" spans="2:26" s="308" customFormat="1" ht="15.75" customHeight="1">
      <c r="B374" s="322"/>
      <c r="C374" s="315" t="s">
        <v>309</v>
      </c>
      <c r="D374" s="315">
        <f>B374</f>
        <v>0</v>
      </c>
      <c r="E374" s="322" t="s">
        <v>309</v>
      </c>
      <c r="F374" s="315" t="str">
        <f>IF(B374="","",B374)</f>
        <v/>
      </c>
      <c r="G374" s="323"/>
      <c r="H374" s="322"/>
      <c r="I374" s="315"/>
      <c r="J374" s="315"/>
      <c r="K374" s="322"/>
      <c r="L374" s="315"/>
      <c r="M374" s="313"/>
      <c r="N374" s="319" t="s">
        <v>16</v>
      </c>
      <c r="O374" s="319" t="s">
        <v>16</v>
      </c>
      <c r="P374" s="321"/>
      <c r="Q374" s="320"/>
      <c r="R374" s="313"/>
      <c r="S374" s="319"/>
      <c r="T374" s="319"/>
      <c r="U374" s="319"/>
      <c r="V374" s="319"/>
      <c r="W374" s="319"/>
      <c r="X374" s="319"/>
      <c r="Y374" s="319"/>
      <c r="Z374" s="316"/>
    </row>
    <row r="375" spans="2:26" s="308" customFormat="1" ht="15.75" customHeight="1">
      <c r="B375" s="322"/>
      <c r="C375" s="315" t="s">
        <v>309</v>
      </c>
      <c r="D375" s="315">
        <f>B375</f>
        <v>0</v>
      </c>
      <c r="E375" s="322" t="s">
        <v>309</v>
      </c>
      <c r="F375" s="315" t="str">
        <f>IF(B375="","",B375)</f>
        <v/>
      </c>
      <c r="G375" s="323"/>
      <c r="H375" s="322"/>
      <c r="I375" s="315"/>
      <c r="J375" s="315"/>
      <c r="K375" s="322"/>
      <c r="L375" s="315"/>
      <c r="M375" s="313"/>
      <c r="N375" s="319" t="s">
        <v>16</v>
      </c>
      <c r="O375" s="319" t="s">
        <v>16</v>
      </c>
      <c r="P375" s="321"/>
      <c r="Q375" s="320"/>
      <c r="R375" s="313"/>
      <c r="S375" s="319"/>
      <c r="T375" s="319"/>
      <c r="U375" s="319"/>
      <c r="V375" s="319"/>
      <c r="W375" s="319"/>
      <c r="X375" s="319"/>
      <c r="Y375" s="319"/>
      <c r="Z375" s="316"/>
    </row>
    <row r="376" spans="2:26" s="308" customFormat="1" ht="15.75" customHeight="1">
      <c r="B376" s="322"/>
      <c r="C376" s="315" t="s">
        <v>309</v>
      </c>
      <c r="D376" s="315">
        <f>B376</f>
        <v>0</v>
      </c>
      <c r="E376" s="322" t="s">
        <v>309</v>
      </c>
      <c r="F376" s="315" t="str">
        <f>IF(B376="","",B376)</f>
        <v/>
      </c>
      <c r="G376" s="323"/>
      <c r="H376" s="322"/>
      <c r="I376" s="315"/>
      <c r="J376" s="315"/>
      <c r="K376" s="322"/>
      <c r="L376" s="315"/>
      <c r="M376" s="313"/>
      <c r="N376" s="319" t="s">
        <v>16</v>
      </c>
      <c r="O376" s="319" t="s">
        <v>16</v>
      </c>
      <c r="P376" s="321"/>
      <c r="Q376" s="320"/>
      <c r="R376" s="313"/>
      <c r="S376" s="319"/>
      <c r="T376" s="319"/>
      <c r="U376" s="319"/>
      <c r="V376" s="319"/>
      <c r="W376" s="319"/>
      <c r="X376" s="319"/>
      <c r="Y376" s="319"/>
      <c r="Z376" s="316"/>
    </row>
    <row r="377" spans="2:26" s="308" customFormat="1" ht="15.75" customHeight="1">
      <c r="B377" s="322"/>
      <c r="C377" s="315" t="s">
        <v>309</v>
      </c>
      <c r="D377" s="315">
        <f>B377</f>
        <v>0</v>
      </c>
      <c r="E377" s="322" t="s">
        <v>309</v>
      </c>
      <c r="F377" s="315" t="str">
        <f>IF(B377="","",B377)</f>
        <v/>
      </c>
      <c r="G377" s="323"/>
      <c r="H377" s="322"/>
      <c r="I377" s="315"/>
      <c r="J377" s="315"/>
      <c r="K377" s="322"/>
      <c r="L377" s="315"/>
      <c r="M377" s="313"/>
      <c r="N377" s="319" t="s">
        <v>16</v>
      </c>
      <c r="O377" s="319" t="s">
        <v>16</v>
      </c>
      <c r="P377" s="321"/>
      <c r="Q377" s="320"/>
      <c r="R377" s="313"/>
      <c r="S377" s="319"/>
      <c r="T377" s="319"/>
      <c r="U377" s="319"/>
      <c r="V377" s="319"/>
      <c r="W377" s="319"/>
      <c r="X377" s="319"/>
      <c r="Y377" s="319"/>
      <c r="Z377" s="316" t="str">
        <f>IF(Y377="Yes","Please ensure the UI has been upgraded","")</f>
        <v/>
      </c>
    </row>
    <row r="378" spans="2:26" s="308" customFormat="1" ht="15.75" customHeight="1">
      <c r="B378" s="322"/>
      <c r="C378" s="315" t="s">
        <v>309</v>
      </c>
      <c r="D378" s="315">
        <f>B378</f>
        <v>0</v>
      </c>
      <c r="E378" s="322" t="s">
        <v>309</v>
      </c>
      <c r="F378" s="315" t="str">
        <f>IF(B378="","",B378)</f>
        <v/>
      </c>
      <c r="G378" s="323"/>
      <c r="H378" s="322"/>
      <c r="I378" s="315"/>
      <c r="J378" s="315"/>
      <c r="K378" s="322"/>
      <c r="L378" s="315"/>
      <c r="M378" s="313"/>
      <c r="N378" s="319" t="s">
        <v>16</v>
      </c>
      <c r="O378" s="319" t="s">
        <v>16</v>
      </c>
      <c r="P378" s="321"/>
      <c r="Q378" s="320"/>
      <c r="R378" s="313"/>
      <c r="S378" s="319"/>
      <c r="T378" s="319"/>
      <c r="U378" s="319"/>
      <c r="V378" s="319"/>
      <c r="W378" s="319"/>
      <c r="X378" s="319"/>
      <c r="Y378" s="319"/>
      <c r="Z378" s="316" t="str">
        <f>IF(Y378="Yes","Please ensure the UI has been upgraded","")</f>
        <v/>
      </c>
    </row>
    <row r="379" spans="2:26" s="308" customFormat="1" ht="15.75" customHeight="1">
      <c r="B379" s="322"/>
      <c r="C379" s="315" t="s">
        <v>309</v>
      </c>
      <c r="D379" s="315">
        <f>B379</f>
        <v>0</v>
      </c>
      <c r="E379" s="322" t="s">
        <v>309</v>
      </c>
      <c r="F379" s="315" t="str">
        <f>IF(B379="","",B379)</f>
        <v/>
      </c>
      <c r="G379" s="323"/>
      <c r="H379" s="322"/>
      <c r="I379" s="315"/>
      <c r="J379" s="315"/>
      <c r="K379" s="322"/>
      <c r="L379" s="315"/>
      <c r="M379" s="313"/>
      <c r="N379" s="319" t="s">
        <v>16</v>
      </c>
      <c r="O379" s="319" t="s">
        <v>16</v>
      </c>
      <c r="P379" s="321"/>
      <c r="Q379" s="320"/>
      <c r="R379" s="313"/>
      <c r="S379" s="319"/>
      <c r="T379" s="319"/>
      <c r="U379" s="319"/>
      <c r="V379" s="319"/>
      <c r="W379" s="319"/>
      <c r="X379" s="319"/>
      <c r="Y379" s="319"/>
      <c r="Z379" s="316" t="str">
        <f>IF(Y379="Yes","Please ensure the UI has been upgraded","")</f>
        <v/>
      </c>
    </row>
    <row r="380" spans="2:26" s="308" customFormat="1" ht="15.75" customHeight="1">
      <c r="B380" s="322"/>
      <c r="C380" s="315" t="s">
        <v>309</v>
      </c>
      <c r="D380" s="315">
        <f>B380</f>
        <v>0</v>
      </c>
      <c r="E380" s="322" t="s">
        <v>309</v>
      </c>
      <c r="F380" s="315" t="str">
        <f>IF(B380="","",B380)</f>
        <v/>
      </c>
      <c r="G380" s="323"/>
      <c r="H380" s="322"/>
      <c r="I380" s="315"/>
      <c r="J380" s="315"/>
      <c r="K380" s="322"/>
      <c r="L380" s="315"/>
      <c r="M380" s="313"/>
      <c r="N380" s="319" t="s">
        <v>16</v>
      </c>
      <c r="O380" s="319" t="s">
        <v>16</v>
      </c>
      <c r="P380" s="321"/>
      <c r="Q380" s="320"/>
      <c r="R380" s="313"/>
      <c r="S380" s="319"/>
      <c r="T380" s="319"/>
      <c r="U380" s="319"/>
      <c r="V380" s="319"/>
      <c r="W380" s="319"/>
      <c r="X380" s="319"/>
      <c r="Y380" s="319"/>
      <c r="Z380" s="316" t="str">
        <f>IF(Y380="Yes","Please ensure the UI has been upgraded","")</f>
        <v/>
      </c>
    </row>
    <row r="381" spans="2:26" s="308" customFormat="1" ht="15.75" customHeight="1">
      <c r="B381" s="322"/>
      <c r="C381" s="315" t="s">
        <v>309</v>
      </c>
      <c r="D381" s="315">
        <f>B381</f>
        <v>0</v>
      </c>
      <c r="E381" s="322" t="s">
        <v>309</v>
      </c>
      <c r="F381" s="315" t="str">
        <f>IF(B381="","",B381)</f>
        <v/>
      </c>
      <c r="G381" s="323"/>
      <c r="H381" s="322"/>
      <c r="I381" s="315"/>
      <c r="J381" s="315"/>
      <c r="K381" s="322"/>
      <c r="L381" s="315"/>
      <c r="M381" s="313"/>
      <c r="N381" s="319" t="s">
        <v>16</v>
      </c>
      <c r="O381" s="319" t="s">
        <v>16</v>
      </c>
      <c r="P381" s="321"/>
      <c r="Q381" s="320"/>
      <c r="R381" s="313"/>
      <c r="S381" s="319"/>
      <c r="T381" s="319"/>
      <c r="U381" s="319"/>
      <c r="V381" s="319"/>
      <c r="W381" s="319"/>
      <c r="X381" s="319"/>
      <c r="Y381" s="319"/>
      <c r="Z381" s="316" t="str">
        <f>IF(Y381="Yes","Please ensure the UI has been upgraded","")</f>
        <v/>
      </c>
    </row>
    <row r="382" spans="2:26" s="308" customFormat="1" ht="15.75" customHeight="1">
      <c r="B382" s="322"/>
      <c r="C382" s="315" t="s">
        <v>309</v>
      </c>
      <c r="D382" s="315">
        <f>B382</f>
        <v>0</v>
      </c>
      <c r="E382" s="322" t="s">
        <v>309</v>
      </c>
      <c r="F382" s="315" t="str">
        <f>IF(B382="","",B382)</f>
        <v/>
      </c>
      <c r="G382" s="323"/>
      <c r="H382" s="322"/>
      <c r="I382" s="315"/>
      <c r="J382" s="315"/>
      <c r="K382" s="322"/>
      <c r="L382" s="315"/>
      <c r="M382" s="313"/>
      <c r="N382" s="319" t="s">
        <v>16</v>
      </c>
      <c r="O382" s="319" t="s">
        <v>16</v>
      </c>
      <c r="P382" s="321"/>
      <c r="Q382" s="320"/>
      <c r="R382" s="313"/>
      <c r="S382" s="319"/>
      <c r="T382" s="319"/>
      <c r="U382" s="319"/>
      <c r="V382" s="319"/>
      <c r="W382" s="319"/>
      <c r="X382" s="319"/>
      <c r="Y382" s="319"/>
      <c r="Z382" s="316" t="str">
        <f>IF(Y382="Yes","Please ensure the UI has been upgraded","")</f>
        <v/>
      </c>
    </row>
    <row r="383" spans="2:26" s="308" customFormat="1" ht="15.75" customHeight="1">
      <c r="B383" s="322"/>
      <c r="C383" s="315" t="s">
        <v>309</v>
      </c>
      <c r="D383" s="315">
        <f>B383</f>
        <v>0</v>
      </c>
      <c r="E383" s="322" t="s">
        <v>309</v>
      </c>
      <c r="F383" s="315" t="str">
        <f>IF(B383="","",B383)</f>
        <v/>
      </c>
      <c r="G383" s="323"/>
      <c r="H383" s="322"/>
      <c r="I383" s="315"/>
      <c r="J383" s="315"/>
      <c r="K383" s="322"/>
      <c r="L383" s="315"/>
      <c r="M383" s="313"/>
      <c r="N383" s="319" t="s">
        <v>16</v>
      </c>
      <c r="O383" s="319" t="s">
        <v>16</v>
      </c>
      <c r="P383" s="321"/>
      <c r="Q383" s="320"/>
      <c r="R383" s="313"/>
      <c r="S383" s="319"/>
      <c r="T383" s="319"/>
      <c r="U383" s="319"/>
      <c r="V383" s="319"/>
      <c r="W383" s="319"/>
      <c r="X383" s="319"/>
      <c r="Y383" s="319"/>
      <c r="Z383" s="316" t="str">
        <f>IF(Y383="Yes","Please ensure the UI has been upgraded","")</f>
        <v/>
      </c>
    </row>
    <row r="384" spans="2:26" s="308" customFormat="1" ht="15.75" customHeight="1">
      <c r="B384" s="322"/>
      <c r="C384" s="315" t="s">
        <v>309</v>
      </c>
      <c r="D384" s="315">
        <f>B384</f>
        <v>0</v>
      </c>
      <c r="E384" s="322" t="s">
        <v>309</v>
      </c>
      <c r="F384" s="315" t="str">
        <f>IF(B384="","",B384)</f>
        <v/>
      </c>
      <c r="G384" s="323"/>
      <c r="H384" s="322"/>
      <c r="I384" s="315"/>
      <c r="J384" s="315"/>
      <c r="K384" s="322"/>
      <c r="L384" s="315"/>
      <c r="M384" s="313"/>
      <c r="N384" s="319" t="s">
        <v>16</v>
      </c>
      <c r="O384" s="319" t="s">
        <v>16</v>
      </c>
      <c r="P384" s="321"/>
      <c r="Q384" s="320"/>
      <c r="R384" s="313"/>
      <c r="S384" s="319"/>
      <c r="T384" s="319"/>
      <c r="U384" s="319"/>
      <c r="V384" s="319"/>
      <c r="W384" s="319"/>
      <c r="X384" s="319"/>
      <c r="Y384" s="319"/>
      <c r="Z384" s="316" t="str">
        <f>IF(Y384="Yes","Please ensure the UI has been upgraded","")</f>
        <v/>
      </c>
    </row>
    <row r="385" spans="2:26" s="308" customFormat="1" ht="15.75" customHeight="1">
      <c r="B385" s="322"/>
      <c r="C385" s="315" t="s">
        <v>309</v>
      </c>
      <c r="D385" s="315">
        <f>B385</f>
        <v>0</v>
      </c>
      <c r="E385" s="322" t="s">
        <v>309</v>
      </c>
      <c r="F385" s="315" t="str">
        <f>IF(B385="","",B385)</f>
        <v/>
      </c>
      <c r="G385" s="323"/>
      <c r="H385" s="322"/>
      <c r="I385" s="315"/>
      <c r="J385" s="315"/>
      <c r="K385" s="322"/>
      <c r="L385" s="315"/>
      <c r="M385" s="313"/>
      <c r="N385" s="319" t="s">
        <v>16</v>
      </c>
      <c r="O385" s="319" t="s">
        <v>16</v>
      </c>
      <c r="P385" s="321"/>
      <c r="Q385" s="320"/>
      <c r="R385" s="313"/>
      <c r="S385" s="319"/>
      <c r="T385" s="319"/>
      <c r="U385" s="319"/>
      <c r="V385" s="319"/>
      <c r="W385" s="319"/>
      <c r="X385" s="319"/>
      <c r="Y385" s="319"/>
      <c r="Z385" s="316" t="str">
        <f>IF(Y385="Yes","Please ensure the UI has been upgraded","")</f>
        <v/>
      </c>
    </row>
    <row r="386" spans="2:26" s="308" customFormat="1" ht="15.75" customHeight="1">
      <c r="B386" s="322"/>
      <c r="C386" s="315" t="s">
        <v>309</v>
      </c>
      <c r="D386" s="315">
        <f>B386</f>
        <v>0</v>
      </c>
      <c r="E386" s="322" t="s">
        <v>309</v>
      </c>
      <c r="F386" s="315" t="str">
        <f>IF(B386="","",B386)</f>
        <v/>
      </c>
      <c r="G386" s="323"/>
      <c r="H386" s="322"/>
      <c r="I386" s="315"/>
      <c r="J386" s="315"/>
      <c r="K386" s="322"/>
      <c r="L386" s="315"/>
      <c r="M386" s="313"/>
      <c r="N386" s="319" t="s">
        <v>16</v>
      </c>
      <c r="O386" s="319" t="s">
        <v>16</v>
      </c>
      <c r="P386" s="321"/>
      <c r="Q386" s="320"/>
      <c r="R386" s="313"/>
      <c r="S386" s="319"/>
      <c r="T386" s="319"/>
      <c r="U386" s="319"/>
      <c r="V386" s="319"/>
      <c r="W386" s="319"/>
      <c r="X386" s="319"/>
      <c r="Y386" s="319"/>
      <c r="Z386" s="316" t="str">
        <f>IF(Y386="Yes","Please ensure the UI has been upgraded","")</f>
        <v/>
      </c>
    </row>
    <row r="387" spans="2:26" s="308" customFormat="1" ht="15.75" customHeight="1">
      <c r="B387" s="322"/>
      <c r="C387" s="315" t="s">
        <v>309</v>
      </c>
      <c r="D387" s="315">
        <f>B387</f>
        <v>0</v>
      </c>
      <c r="E387" s="322" t="s">
        <v>309</v>
      </c>
      <c r="F387" s="315" t="str">
        <f>IF(B387="","",B387)</f>
        <v/>
      </c>
      <c r="G387" s="323"/>
      <c r="H387" s="322"/>
      <c r="I387" s="315"/>
      <c r="J387" s="315"/>
      <c r="K387" s="322"/>
      <c r="L387" s="315"/>
      <c r="M387" s="313"/>
      <c r="N387" s="319" t="s">
        <v>16</v>
      </c>
      <c r="O387" s="319" t="s">
        <v>16</v>
      </c>
      <c r="P387" s="321"/>
      <c r="Q387" s="320"/>
      <c r="R387" s="313"/>
      <c r="S387" s="319"/>
      <c r="T387" s="319"/>
      <c r="U387" s="319"/>
      <c r="V387" s="319"/>
      <c r="W387" s="319"/>
      <c r="X387" s="319"/>
      <c r="Y387" s="319"/>
      <c r="Z387" s="316" t="str">
        <f>IF(Y387="Yes","Please ensure the UI has been upgraded","")</f>
        <v/>
      </c>
    </row>
    <row r="388" spans="2:26" s="308" customFormat="1" ht="15.75" customHeight="1">
      <c r="B388" s="322"/>
      <c r="C388" s="315" t="s">
        <v>309</v>
      </c>
      <c r="D388" s="315">
        <f>B388</f>
        <v>0</v>
      </c>
      <c r="E388" s="322" t="s">
        <v>309</v>
      </c>
      <c r="F388" s="315" t="str">
        <f>IF(B388="","",B388)</f>
        <v/>
      </c>
      <c r="G388" s="323"/>
      <c r="H388" s="322"/>
      <c r="I388" s="315"/>
      <c r="J388" s="315"/>
      <c r="K388" s="322"/>
      <c r="L388" s="315"/>
      <c r="M388" s="313"/>
      <c r="N388" s="319" t="s">
        <v>16</v>
      </c>
      <c r="O388" s="319" t="s">
        <v>16</v>
      </c>
      <c r="P388" s="321"/>
      <c r="Q388" s="320"/>
      <c r="R388" s="313"/>
      <c r="S388" s="319"/>
      <c r="T388" s="319"/>
      <c r="U388" s="319"/>
      <c r="V388" s="319"/>
      <c r="W388" s="319"/>
      <c r="X388" s="319"/>
      <c r="Y388" s="319"/>
      <c r="Z388" s="316" t="str">
        <f>IF(Y388="Yes","Please ensure the UI has been upgraded","")</f>
        <v/>
      </c>
    </row>
    <row r="389" spans="2:26" s="308" customFormat="1" ht="15.75" customHeight="1">
      <c r="B389" s="322"/>
      <c r="C389" s="315" t="s">
        <v>309</v>
      </c>
      <c r="D389" s="315">
        <f>B389</f>
        <v>0</v>
      </c>
      <c r="E389" s="322" t="s">
        <v>309</v>
      </c>
      <c r="F389" s="315" t="str">
        <f>IF(B389="","",B389)</f>
        <v/>
      </c>
      <c r="G389" s="323"/>
      <c r="H389" s="322"/>
      <c r="I389" s="315"/>
      <c r="J389" s="315"/>
      <c r="K389" s="322"/>
      <c r="L389" s="315"/>
      <c r="M389" s="313"/>
      <c r="N389" s="319" t="s">
        <v>16</v>
      </c>
      <c r="O389" s="319" t="s">
        <v>16</v>
      </c>
      <c r="P389" s="321"/>
      <c r="Q389" s="320"/>
      <c r="R389" s="313"/>
      <c r="S389" s="319"/>
      <c r="T389" s="319"/>
      <c r="U389" s="319"/>
      <c r="V389" s="319"/>
      <c r="W389" s="319"/>
      <c r="X389" s="319"/>
      <c r="Y389" s="319"/>
      <c r="Z389" s="316"/>
    </row>
    <row r="390" spans="2:26" s="308" customFormat="1" ht="15.75" customHeight="1">
      <c r="B390" s="322"/>
      <c r="C390" s="315" t="s">
        <v>309</v>
      </c>
      <c r="D390" s="315">
        <f>B390</f>
        <v>0</v>
      </c>
      <c r="E390" s="322" t="s">
        <v>309</v>
      </c>
      <c r="F390" s="315" t="str">
        <f>IF(B390="","",B390)</f>
        <v/>
      </c>
      <c r="G390" s="323"/>
      <c r="H390" s="322"/>
      <c r="I390" s="315"/>
      <c r="J390" s="315"/>
      <c r="K390" s="322"/>
      <c r="L390" s="315"/>
      <c r="M390" s="313"/>
      <c r="N390" s="319" t="s">
        <v>16</v>
      </c>
      <c r="O390" s="319" t="s">
        <v>16</v>
      </c>
      <c r="P390" s="321"/>
      <c r="Q390" s="320"/>
      <c r="R390" s="313"/>
      <c r="S390" s="319"/>
      <c r="T390" s="319"/>
      <c r="U390" s="319"/>
      <c r="V390" s="319"/>
      <c r="W390" s="319"/>
      <c r="X390" s="319"/>
      <c r="Y390" s="319"/>
      <c r="Z390" s="316"/>
    </row>
    <row r="391" spans="2:26" s="308" customFormat="1" ht="15.75" customHeight="1">
      <c r="B391" s="322"/>
      <c r="C391" s="315" t="s">
        <v>309</v>
      </c>
      <c r="D391" s="315">
        <f>B391</f>
        <v>0</v>
      </c>
      <c r="E391" s="322" t="s">
        <v>309</v>
      </c>
      <c r="F391" s="315" t="str">
        <f>IF(B391="","",B391)</f>
        <v/>
      </c>
      <c r="G391" s="323"/>
      <c r="H391" s="322"/>
      <c r="I391" s="315"/>
      <c r="J391" s="315"/>
      <c r="K391" s="322"/>
      <c r="L391" s="315"/>
      <c r="M391" s="313"/>
      <c r="N391" s="319" t="s">
        <v>16</v>
      </c>
      <c r="O391" s="319" t="s">
        <v>16</v>
      </c>
      <c r="P391" s="321"/>
      <c r="Q391" s="320"/>
      <c r="R391" s="313"/>
      <c r="S391" s="319"/>
      <c r="T391" s="319"/>
      <c r="U391" s="319"/>
      <c r="V391" s="319"/>
      <c r="W391" s="319"/>
      <c r="X391" s="319"/>
      <c r="Y391" s="319"/>
      <c r="Z391" s="316" t="str">
        <f>IF(Y391="Yes","Please ensure the UI has been upgraded","")</f>
        <v/>
      </c>
    </row>
    <row r="392" spans="2:26" s="308" customFormat="1" ht="15.75" customHeight="1">
      <c r="B392" s="322"/>
      <c r="C392" s="315" t="s">
        <v>309</v>
      </c>
      <c r="D392" s="315">
        <f>B392</f>
        <v>0</v>
      </c>
      <c r="E392" s="322" t="s">
        <v>309</v>
      </c>
      <c r="F392" s="315" t="str">
        <f>IF(B392="","",B392)</f>
        <v/>
      </c>
      <c r="G392" s="323"/>
      <c r="H392" s="322"/>
      <c r="I392" s="315"/>
      <c r="J392" s="315"/>
      <c r="K392" s="322"/>
      <c r="L392" s="315"/>
      <c r="M392" s="313"/>
      <c r="N392" s="319" t="s">
        <v>16</v>
      </c>
      <c r="O392" s="319" t="s">
        <v>16</v>
      </c>
      <c r="P392" s="321"/>
      <c r="Q392" s="320"/>
      <c r="R392" s="313"/>
      <c r="S392" s="319"/>
      <c r="T392" s="319"/>
      <c r="U392" s="319"/>
      <c r="V392" s="319"/>
      <c r="W392" s="319"/>
      <c r="X392" s="319"/>
      <c r="Y392" s="319"/>
      <c r="Z392" s="316" t="str">
        <f>IF(Y392="Yes","Please ensure the UI has been upgraded","")</f>
        <v/>
      </c>
    </row>
    <row r="393" spans="2:26" s="308" customFormat="1" ht="15.75" customHeight="1">
      <c r="B393" s="322"/>
      <c r="C393" s="315" t="s">
        <v>309</v>
      </c>
      <c r="D393" s="315">
        <f>B393</f>
        <v>0</v>
      </c>
      <c r="E393" s="322" t="s">
        <v>309</v>
      </c>
      <c r="F393" s="315" t="str">
        <f>IF(B393="","",B393)</f>
        <v/>
      </c>
      <c r="G393" s="323"/>
      <c r="H393" s="322"/>
      <c r="I393" s="315"/>
      <c r="J393" s="315"/>
      <c r="K393" s="322"/>
      <c r="L393" s="315"/>
      <c r="M393" s="313"/>
      <c r="N393" s="319" t="s">
        <v>16</v>
      </c>
      <c r="O393" s="319" t="s">
        <v>16</v>
      </c>
      <c r="P393" s="321"/>
      <c r="Q393" s="320"/>
      <c r="R393" s="313"/>
      <c r="S393" s="319"/>
      <c r="T393" s="319"/>
      <c r="U393" s="319"/>
      <c r="V393" s="319"/>
      <c r="W393" s="319"/>
      <c r="X393" s="319"/>
      <c r="Y393" s="319"/>
      <c r="Z393" s="316" t="str">
        <f>IF(Y393="Yes","Please ensure the UI has been upgraded","")</f>
        <v/>
      </c>
    </row>
    <row r="394" spans="2:26" s="308" customFormat="1" ht="15.75" customHeight="1">
      <c r="B394" s="322"/>
      <c r="C394" s="315" t="s">
        <v>309</v>
      </c>
      <c r="D394" s="315">
        <f>B394</f>
        <v>0</v>
      </c>
      <c r="E394" s="322" t="s">
        <v>309</v>
      </c>
      <c r="F394" s="315" t="str">
        <f>IF(B394="","",B394)</f>
        <v/>
      </c>
      <c r="G394" s="323"/>
      <c r="H394" s="322"/>
      <c r="I394" s="315"/>
      <c r="J394" s="315"/>
      <c r="K394" s="322"/>
      <c r="L394" s="315"/>
      <c r="M394" s="313"/>
      <c r="N394" s="319" t="s">
        <v>16</v>
      </c>
      <c r="O394" s="319" t="s">
        <v>16</v>
      </c>
      <c r="P394" s="321"/>
      <c r="Q394" s="320"/>
      <c r="R394" s="313"/>
      <c r="S394" s="319"/>
      <c r="T394" s="319"/>
      <c r="U394" s="319"/>
      <c r="V394" s="319"/>
      <c r="W394" s="319"/>
      <c r="X394" s="319"/>
      <c r="Y394" s="319"/>
      <c r="Z394" s="316" t="str">
        <f>IF(Y394="Yes","Please ensure the UI has been upgraded","")</f>
        <v/>
      </c>
    </row>
    <row r="395" spans="2:26" s="308" customFormat="1" ht="15.75" customHeight="1">
      <c r="B395" s="322"/>
      <c r="C395" s="315" t="s">
        <v>309</v>
      </c>
      <c r="D395" s="315">
        <f>B395</f>
        <v>0</v>
      </c>
      <c r="E395" s="322" t="s">
        <v>309</v>
      </c>
      <c r="F395" s="315" t="str">
        <f>IF(B395="","",B395)</f>
        <v/>
      </c>
      <c r="G395" s="323"/>
      <c r="H395" s="322"/>
      <c r="I395" s="315"/>
      <c r="J395" s="315"/>
      <c r="K395" s="322"/>
      <c r="L395" s="315"/>
      <c r="M395" s="313"/>
      <c r="N395" s="319" t="s">
        <v>16</v>
      </c>
      <c r="O395" s="319" t="s">
        <v>16</v>
      </c>
      <c r="P395" s="321"/>
      <c r="Q395" s="320"/>
      <c r="R395" s="313"/>
      <c r="S395" s="319"/>
      <c r="T395" s="319"/>
      <c r="U395" s="319"/>
      <c r="V395" s="319"/>
      <c r="W395" s="319"/>
      <c r="X395" s="319"/>
      <c r="Y395" s="319"/>
      <c r="Z395" s="316" t="str">
        <f>IF(Y395="Yes","Please ensure the UI has been upgraded","")</f>
        <v/>
      </c>
    </row>
    <row r="396" spans="2:26" s="308" customFormat="1" ht="15.75" customHeight="1">
      <c r="B396" s="322"/>
      <c r="C396" s="315" t="s">
        <v>309</v>
      </c>
      <c r="D396" s="315">
        <f>B396</f>
        <v>0</v>
      </c>
      <c r="E396" s="322" t="s">
        <v>309</v>
      </c>
      <c r="F396" s="315" t="str">
        <f>IF(B396="","",B396)</f>
        <v/>
      </c>
      <c r="G396" s="323"/>
      <c r="H396" s="322"/>
      <c r="I396" s="315"/>
      <c r="J396" s="315"/>
      <c r="K396" s="322"/>
      <c r="L396" s="315"/>
      <c r="M396" s="313"/>
      <c r="N396" s="319" t="s">
        <v>16</v>
      </c>
      <c r="O396" s="319" t="s">
        <v>16</v>
      </c>
      <c r="P396" s="321"/>
      <c r="Q396" s="320"/>
      <c r="R396" s="313"/>
      <c r="S396" s="319"/>
      <c r="T396" s="319"/>
      <c r="U396" s="319"/>
      <c r="V396" s="319"/>
      <c r="W396" s="319"/>
      <c r="X396" s="319"/>
      <c r="Y396" s="319"/>
      <c r="Z396" s="316" t="str">
        <f>IF(Y396="Yes","Please ensure the UI has been upgraded","")</f>
        <v/>
      </c>
    </row>
    <row r="397" spans="2:26" s="308" customFormat="1" ht="15.75" customHeight="1">
      <c r="B397" s="322"/>
      <c r="C397" s="315" t="s">
        <v>309</v>
      </c>
      <c r="D397" s="315">
        <f>B397</f>
        <v>0</v>
      </c>
      <c r="E397" s="322" t="s">
        <v>309</v>
      </c>
      <c r="F397" s="315" t="str">
        <f>IF(B397="","",B397)</f>
        <v/>
      </c>
      <c r="G397" s="323"/>
      <c r="H397" s="322"/>
      <c r="I397" s="315"/>
      <c r="J397" s="315"/>
      <c r="K397" s="322"/>
      <c r="L397" s="315"/>
      <c r="M397" s="313"/>
      <c r="N397" s="319" t="s">
        <v>16</v>
      </c>
      <c r="O397" s="319" t="s">
        <v>16</v>
      </c>
      <c r="P397" s="321"/>
      <c r="Q397" s="320"/>
      <c r="R397" s="313"/>
      <c r="S397" s="319"/>
      <c r="T397" s="319"/>
      <c r="U397" s="319"/>
      <c r="V397" s="319"/>
      <c r="W397" s="319"/>
      <c r="X397" s="319"/>
      <c r="Y397" s="319"/>
      <c r="Z397" s="316" t="str">
        <f>IF(Y397="Yes","Please ensure the UI has been upgraded","")</f>
        <v/>
      </c>
    </row>
    <row r="398" spans="2:26" s="308" customFormat="1" ht="15.75" customHeight="1">
      <c r="B398" s="322"/>
      <c r="C398" s="315" t="s">
        <v>309</v>
      </c>
      <c r="D398" s="315">
        <f>B398</f>
        <v>0</v>
      </c>
      <c r="E398" s="322" t="s">
        <v>309</v>
      </c>
      <c r="F398" s="315" t="str">
        <f>IF(B398="","",B398)</f>
        <v/>
      </c>
      <c r="G398" s="323"/>
      <c r="H398" s="322"/>
      <c r="I398" s="315"/>
      <c r="J398" s="315"/>
      <c r="K398" s="322"/>
      <c r="L398" s="315"/>
      <c r="M398" s="313"/>
      <c r="N398" s="319" t="s">
        <v>16</v>
      </c>
      <c r="O398" s="319" t="s">
        <v>16</v>
      </c>
      <c r="P398" s="321"/>
      <c r="Q398" s="320"/>
      <c r="R398" s="313"/>
      <c r="S398" s="319"/>
      <c r="T398" s="319"/>
      <c r="U398" s="319"/>
      <c r="V398" s="319"/>
      <c r="W398" s="319"/>
      <c r="X398" s="319"/>
      <c r="Y398" s="319"/>
      <c r="Z398" s="316" t="str">
        <f>IF(Y398="Yes","Please ensure the UI has been upgraded","")</f>
        <v/>
      </c>
    </row>
    <row r="399" spans="2:26" s="308" customFormat="1" ht="15.75" customHeight="1">
      <c r="B399" s="322"/>
      <c r="C399" s="315" t="s">
        <v>309</v>
      </c>
      <c r="D399" s="315">
        <f>B399</f>
        <v>0</v>
      </c>
      <c r="E399" s="322" t="s">
        <v>309</v>
      </c>
      <c r="F399" s="315" t="str">
        <f>IF(B399="","",B399)</f>
        <v/>
      </c>
      <c r="G399" s="323"/>
      <c r="H399" s="322"/>
      <c r="I399" s="315"/>
      <c r="J399" s="315"/>
      <c r="K399" s="322"/>
      <c r="L399" s="315"/>
      <c r="M399" s="313"/>
      <c r="N399" s="319" t="s">
        <v>16</v>
      </c>
      <c r="O399" s="319" t="s">
        <v>16</v>
      </c>
      <c r="P399" s="321"/>
      <c r="Q399" s="320"/>
      <c r="R399" s="313"/>
      <c r="S399" s="319"/>
      <c r="T399" s="319"/>
      <c r="U399" s="319"/>
      <c r="V399" s="319"/>
      <c r="W399" s="319"/>
      <c r="X399" s="319"/>
      <c r="Y399" s="319"/>
      <c r="Z399" s="316" t="str">
        <f>IF(Y399="Yes","Please ensure the UI has been upgraded","")</f>
        <v/>
      </c>
    </row>
    <row r="400" spans="2:26" s="308" customFormat="1" ht="15.75" customHeight="1">
      <c r="B400" s="322"/>
      <c r="C400" s="315" t="s">
        <v>309</v>
      </c>
      <c r="D400" s="315">
        <f>B400</f>
        <v>0</v>
      </c>
      <c r="E400" s="322" t="s">
        <v>309</v>
      </c>
      <c r="F400" s="315" t="str">
        <f>IF(B400="","",B400)</f>
        <v/>
      </c>
      <c r="G400" s="323"/>
      <c r="H400" s="322"/>
      <c r="I400" s="315"/>
      <c r="J400" s="315"/>
      <c r="K400" s="322"/>
      <c r="L400" s="315"/>
      <c r="M400" s="313"/>
      <c r="N400" s="319" t="s">
        <v>16</v>
      </c>
      <c r="O400" s="319" t="s">
        <v>16</v>
      </c>
      <c r="P400" s="321"/>
      <c r="Q400" s="320"/>
      <c r="R400" s="313"/>
      <c r="S400" s="319"/>
      <c r="T400" s="319"/>
      <c r="U400" s="319"/>
      <c r="V400" s="319"/>
      <c r="W400" s="319"/>
      <c r="X400" s="319"/>
      <c r="Y400" s="319"/>
      <c r="Z400" s="316" t="str">
        <f>IF(Y400="Yes","Please ensure the UI has been upgraded","")</f>
        <v/>
      </c>
    </row>
    <row r="401" spans="2:26" s="308" customFormat="1" ht="15.75" customHeight="1">
      <c r="B401" s="322"/>
      <c r="C401" s="315" t="s">
        <v>309</v>
      </c>
      <c r="D401" s="315">
        <f>B401</f>
        <v>0</v>
      </c>
      <c r="E401" s="322" t="s">
        <v>309</v>
      </c>
      <c r="F401" s="315" t="str">
        <f>IF(B401="","",B401)</f>
        <v/>
      </c>
      <c r="G401" s="323"/>
      <c r="H401" s="322"/>
      <c r="I401" s="315"/>
      <c r="J401" s="315"/>
      <c r="K401" s="322"/>
      <c r="L401" s="315"/>
      <c r="M401" s="313"/>
      <c r="N401" s="319" t="s">
        <v>16</v>
      </c>
      <c r="O401" s="319" t="s">
        <v>16</v>
      </c>
      <c r="P401" s="321"/>
      <c r="Q401" s="320"/>
      <c r="R401" s="313"/>
      <c r="S401" s="319"/>
      <c r="T401" s="319"/>
      <c r="U401" s="319"/>
      <c r="V401" s="319"/>
      <c r="W401" s="319"/>
      <c r="X401" s="319"/>
      <c r="Y401" s="319"/>
      <c r="Z401" s="316" t="str">
        <f>IF(Y401="Yes","Please ensure the UI has been upgraded","")</f>
        <v/>
      </c>
    </row>
    <row r="402" spans="2:26" s="308" customFormat="1" ht="15.75" customHeight="1">
      <c r="B402" s="322"/>
      <c r="C402" s="315" t="s">
        <v>309</v>
      </c>
      <c r="D402" s="315">
        <f>B402</f>
        <v>0</v>
      </c>
      <c r="E402" s="322" t="s">
        <v>309</v>
      </c>
      <c r="F402" s="315" t="str">
        <f>IF(B402="","",B402)</f>
        <v/>
      </c>
      <c r="G402" s="323"/>
      <c r="H402" s="322"/>
      <c r="I402" s="315"/>
      <c r="J402" s="315"/>
      <c r="K402" s="322"/>
      <c r="L402" s="315"/>
      <c r="M402" s="313"/>
      <c r="N402" s="319" t="s">
        <v>16</v>
      </c>
      <c r="O402" s="319" t="s">
        <v>16</v>
      </c>
      <c r="P402" s="321"/>
      <c r="Q402" s="320"/>
      <c r="R402" s="313"/>
      <c r="S402" s="319"/>
      <c r="T402" s="319"/>
      <c r="U402" s="319"/>
      <c r="V402" s="319"/>
      <c r="W402" s="319"/>
      <c r="X402" s="319"/>
      <c r="Y402" s="319"/>
      <c r="Z402" s="316" t="str">
        <f>IF(Y402="Yes","Please ensure the UI has been upgraded","")</f>
        <v/>
      </c>
    </row>
    <row r="403" spans="2:26" s="308" customFormat="1" ht="15.75" customHeight="1">
      <c r="B403" s="322"/>
      <c r="C403" s="315" t="s">
        <v>309</v>
      </c>
      <c r="D403" s="315">
        <f>B403</f>
        <v>0</v>
      </c>
      <c r="E403" s="322" t="s">
        <v>309</v>
      </c>
      <c r="F403" s="315" t="str">
        <f>IF(B403="","",B403)</f>
        <v/>
      </c>
      <c r="G403" s="323"/>
      <c r="H403" s="322"/>
      <c r="I403" s="315"/>
      <c r="J403" s="315"/>
      <c r="K403" s="322"/>
      <c r="L403" s="315"/>
      <c r="M403" s="313"/>
      <c r="N403" s="319" t="s">
        <v>16</v>
      </c>
      <c r="O403" s="319" t="s">
        <v>16</v>
      </c>
      <c r="P403" s="321"/>
      <c r="Q403" s="320"/>
      <c r="R403" s="313"/>
      <c r="S403" s="319"/>
      <c r="T403" s="319"/>
      <c r="U403" s="319"/>
      <c r="V403" s="319"/>
      <c r="W403" s="319"/>
      <c r="X403" s="319"/>
      <c r="Y403" s="319"/>
      <c r="Z403" s="316" t="str">
        <f>IF(Y403="Yes","Please ensure the UI has been upgraded","")</f>
        <v/>
      </c>
    </row>
    <row r="404" spans="2:26" s="308" customFormat="1" ht="15.75" customHeight="1">
      <c r="B404" s="322"/>
      <c r="C404" s="315" t="s">
        <v>309</v>
      </c>
      <c r="D404" s="315">
        <f>B404</f>
        <v>0</v>
      </c>
      <c r="E404" s="322" t="s">
        <v>309</v>
      </c>
      <c r="F404" s="315" t="str">
        <f>IF(B404="","",B404)</f>
        <v/>
      </c>
      <c r="G404" s="323"/>
      <c r="H404" s="322"/>
      <c r="I404" s="315"/>
      <c r="J404" s="315"/>
      <c r="K404" s="322"/>
      <c r="L404" s="315"/>
      <c r="M404" s="313"/>
      <c r="N404" s="319" t="s">
        <v>16</v>
      </c>
      <c r="O404" s="319" t="s">
        <v>16</v>
      </c>
      <c r="P404" s="321"/>
      <c r="Q404" s="320"/>
      <c r="R404" s="313"/>
      <c r="S404" s="319"/>
      <c r="T404" s="319"/>
      <c r="U404" s="319"/>
      <c r="V404" s="319"/>
      <c r="W404" s="319"/>
      <c r="X404" s="319"/>
      <c r="Y404" s="319"/>
      <c r="Z404" s="316" t="str">
        <f>IF(Y404="Yes","Please ensure the UI has been upgraded","")</f>
        <v/>
      </c>
    </row>
    <row r="405" spans="2:26" s="308" customFormat="1" ht="15.75" customHeight="1">
      <c r="B405" s="322"/>
      <c r="C405" s="315" t="s">
        <v>309</v>
      </c>
      <c r="D405" s="315">
        <f>B405</f>
        <v>0</v>
      </c>
      <c r="E405" s="322" t="s">
        <v>309</v>
      </c>
      <c r="F405" s="315" t="str">
        <f>IF(B405="","",B405)</f>
        <v/>
      </c>
      <c r="G405" s="323"/>
      <c r="H405" s="322"/>
      <c r="I405" s="315"/>
      <c r="J405" s="315"/>
      <c r="K405" s="322"/>
      <c r="L405" s="315"/>
      <c r="M405" s="313"/>
      <c r="N405" s="319" t="s">
        <v>16</v>
      </c>
      <c r="O405" s="319" t="s">
        <v>16</v>
      </c>
      <c r="P405" s="321"/>
      <c r="Q405" s="320"/>
      <c r="R405" s="313"/>
      <c r="S405" s="319"/>
      <c r="T405" s="319"/>
      <c r="U405" s="319"/>
      <c r="V405" s="319"/>
      <c r="W405" s="319"/>
      <c r="X405" s="319"/>
      <c r="Y405" s="319"/>
      <c r="Z405" s="316" t="str">
        <f>IF(Y405="Yes","Please ensure the UI has been upgraded","")</f>
        <v/>
      </c>
    </row>
    <row r="406" spans="2:26" s="308" customFormat="1" ht="15.75" customHeight="1">
      <c r="B406" s="322"/>
      <c r="C406" s="315" t="s">
        <v>309</v>
      </c>
      <c r="D406" s="315">
        <f>B406</f>
        <v>0</v>
      </c>
      <c r="E406" s="322" t="s">
        <v>309</v>
      </c>
      <c r="F406" s="315" t="str">
        <f>IF(B406="","",B406)</f>
        <v/>
      </c>
      <c r="G406" s="323"/>
      <c r="H406" s="322"/>
      <c r="I406" s="315"/>
      <c r="J406" s="315"/>
      <c r="K406" s="322"/>
      <c r="L406" s="315"/>
      <c r="M406" s="313"/>
      <c r="N406" s="319" t="s">
        <v>16</v>
      </c>
      <c r="O406" s="319" t="s">
        <v>16</v>
      </c>
      <c r="P406" s="321"/>
      <c r="Q406" s="320"/>
      <c r="R406" s="313"/>
      <c r="S406" s="319"/>
      <c r="T406" s="319"/>
      <c r="U406" s="319"/>
      <c r="V406" s="319"/>
      <c r="W406" s="319"/>
      <c r="X406" s="319"/>
      <c r="Y406" s="319"/>
      <c r="Z406" s="316" t="str">
        <f>IF(Y406="Yes","Please ensure the UI has been upgraded","")</f>
        <v/>
      </c>
    </row>
    <row r="407" spans="2:26" s="308" customFormat="1" ht="15.75" customHeight="1">
      <c r="B407" s="322"/>
      <c r="C407" s="315" t="s">
        <v>309</v>
      </c>
      <c r="D407" s="315">
        <f>B407</f>
        <v>0</v>
      </c>
      <c r="E407" s="322" t="s">
        <v>309</v>
      </c>
      <c r="F407" s="315" t="str">
        <f>IF(B407="","",B407)</f>
        <v/>
      </c>
      <c r="G407" s="323"/>
      <c r="H407" s="322"/>
      <c r="I407" s="315"/>
      <c r="J407" s="315"/>
      <c r="K407" s="322"/>
      <c r="L407" s="315"/>
      <c r="M407" s="313"/>
      <c r="N407" s="319" t="s">
        <v>16</v>
      </c>
      <c r="O407" s="319" t="s">
        <v>16</v>
      </c>
      <c r="P407" s="321"/>
      <c r="Q407" s="320"/>
      <c r="R407" s="313"/>
      <c r="S407" s="319"/>
      <c r="T407" s="319"/>
      <c r="U407" s="319"/>
      <c r="V407" s="319"/>
      <c r="W407" s="319"/>
      <c r="X407" s="319"/>
      <c r="Y407" s="319"/>
      <c r="Z407" s="316" t="str">
        <f>IF(Y407="Yes","Please ensure the UI has been upgraded","")</f>
        <v/>
      </c>
    </row>
    <row r="408" spans="2:26" s="308" customFormat="1" ht="15.75" customHeight="1">
      <c r="B408" s="322"/>
      <c r="C408" s="315" t="s">
        <v>309</v>
      </c>
      <c r="D408" s="315">
        <f>B408</f>
        <v>0</v>
      </c>
      <c r="E408" s="322" t="s">
        <v>309</v>
      </c>
      <c r="F408" s="315" t="str">
        <f>IF(B408="","",B408)</f>
        <v/>
      </c>
      <c r="G408" s="323"/>
      <c r="H408" s="322"/>
      <c r="I408" s="315"/>
      <c r="J408" s="315"/>
      <c r="K408" s="322"/>
      <c r="L408" s="315"/>
      <c r="M408" s="313"/>
      <c r="N408" s="319" t="s">
        <v>16</v>
      </c>
      <c r="O408" s="319" t="s">
        <v>16</v>
      </c>
      <c r="P408" s="321"/>
      <c r="Q408" s="320"/>
      <c r="R408" s="313"/>
      <c r="S408" s="319"/>
      <c r="T408" s="319"/>
      <c r="U408" s="319"/>
      <c r="V408" s="319"/>
      <c r="W408" s="319"/>
      <c r="X408" s="319"/>
      <c r="Y408" s="319"/>
      <c r="Z408" s="316" t="str">
        <f>IF(Y408="Yes","Please ensure the UI has been upgraded","")</f>
        <v/>
      </c>
    </row>
    <row r="409" spans="2:26" s="308" customFormat="1" ht="15.75" customHeight="1">
      <c r="B409" s="322"/>
      <c r="C409" s="315" t="s">
        <v>309</v>
      </c>
      <c r="D409" s="315">
        <f>B409</f>
        <v>0</v>
      </c>
      <c r="E409" s="322" t="s">
        <v>309</v>
      </c>
      <c r="F409" s="315" t="str">
        <f>IF(B409="","",B409)</f>
        <v/>
      </c>
      <c r="G409" s="323"/>
      <c r="H409" s="322"/>
      <c r="I409" s="315"/>
      <c r="J409" s="315"/>
      <c r="K409" s="322"/>
      <c r="L409" s="315"/>
      <c r="M409" s="313"/>
      <c r="N409" s="319" t="s">
        <v>16</v>
      </c>
      <c r="O409" s="319" t="s">
        <v>16</v>
      </c>
      <c r="P409" s="321"/>
      <c r="Q409" s="320"/>
      <c r="R409" s="313"/>
      <c r="S409" s="319"/>
      <c r="T409" s="319"/>
      <c r="U409" s="319"/>
      <c r="V409" s="319"/>
      <c r="W409" s="319"/>
      <c r="X409" s="319"/>
      <c r="Y409" s="319"/>
      <c r="Z409" s="316" t="str">
        <f>IF(Y409="Yes","Please ensure the UI has been upgraded","")</f>
        <v/>
      </c>
    </row>
    <row r="410" spans="2:26" s="308" customFormat="1" ht="15.75" customHeight="1">
      <c r="B410" s="322"/>
      <c r="C410" s="315" t="s">
        <v>309</v>
      </c>
      <c r="D410" s="315">
        <f>B410</f>
        <v>0</v>
      </c>
      <c r="E410" s="322" t="s">
        <v>309</v>
      </c>
      <c r="F410" s="315" t="str">
        <f>IF(B410="","",B410)</f>
        <v/>
      </c>
      <c r="G410" s="323"/>
      <c r="H410" s="322"/>
      <c r="I410" s="315"/>
      <c r="J410" s="315"/>
      <c r="K410" s="322"/>
      <c r="L410" s="315"/>
      <c r="M410" s="313"/>
      <c r="N410" s="319" t="s">
        <v>16</v>
      </c>
      <c r="O410" s="319" t="s">
        <v>16</v>
      </c>
      <c r="P410" s="321"/>
      <c r="Q410" s="320"/>
      <c r="R410" s="313"/>
      <c r="S410" s="319"/>
      <c r="T410" s="319"/>
      <c r="U410" s="319"/>
      <c r="V410" s="319"/>
      <c r="W410" s="319"/>
      <c r="X410" s="319"/>
      <c r="Y410" s="319"/>
      <c r="Z410" s="316" t="str">
        <f>IF(Y410="Yes","Please ensure the UI has been upgraded","")</f>
        <v/>
      </c>
    </row>
    <row r="411" spans="2:26" s="308" customFormat="1" ht="15.75" customHeight="1">
      <c r="B411" s="322"/>
      <c r="C411" s="315" t="s">
        <v>309</v>
      </c>
      <c r="D411" s="315">
        <f>B411</f>
        <v>0</v>
      </c>
      <c r="E411" s="322" t="s">
        <v>309</v>
      </c>
      <c r="F411" s="315" t="str">
        <f>IF(B411="","",B411)</f>
        <v/>
      </c>
      <c r="G411" s="323"/>
      <c r="H411" s="322"/>
      <c r="I411" s="315"/>
      <c r="J411" s="315"/>
      <c r="K411" s="322"/>
      <c r="L411" s="315"/>
      <c r="M411" s="313"/>
      <c r="N411" s="319" t="s">
        <v>16</v>
      </c>
      <c r="O411" s="319" t="s">
        <v>16</v>
      </c>
      <c r="P411" s="321"/>
      <c r="Q411" s="320"/>
      <c r="R411" s="313"/>
      <c r="S411" s="319"/>
      <c r="T411" s="319"/>
      <c r="U411" s="319"/>
      <c r="V411" s="319"/>
      <c r="W411" s="319"/>
      <c r="X411" s="319"/>
      <c r="Y411" s="319"/>
      <c r="Z411" s="316" t="str">
        <f>IF(Y411="Yes","Please ensure the UI has been upgraded","")</f>
        <v/>
      </c>
    </row>
    <row r="412" spans="2:26" s="308" customFormat="1" ht="15.75" customHeight="1">
      <c r="B412" s="322"/>
      <c r="C412" s="315" t="s">
        <v>309</v>
      </c>
      <c r="D412" s="315">
        <f>B412</f>
        <v>0</v>
      </c>
      <c r="E412" s="322" t="s">
        <v>309</v>
      </c>
      <c r="F412" s="315" t="str">
        <f>IF(B412="","",B412)</f>
        <v/>
      </c>
      <c r="G412" s="323"/>
      <c r="H412" s="322"/>
      <c r="I412" s="315"/>
      <c r="J412" s="315"/>
      <c r="K412" s="322"/>
      <c r="L412" s="315"/>
      <c r="M412" s="313"/>
      <c r="N412" s="319" t="s">
        <v>16</v>
      </c>
      <c r="O412" s="319" t="s">
        <v>16</v>
      </c>
      <c r="P412" s="321"/>
      <c r="Q412" s="320"/>
      <c r="R412" s="313"/>
      <c r="S412" s="319"/>
      <c r="T412" s="319"/>
      <c r="U412" s="319"/>
      <c r="V412" s="319"/>
      <c r="W412" s="319"/>
      <c r="X412" s="319"/>
      <c r="Y412" s="319"/>
      <c r="Z412" s="316" t="str">
        <f>IF(Y412="Yes","Please ensure the UI has been upgraded","")</f>
        <v/>
      </c>
    </row>
    <row r="413" spans="2:25" s="308" customFormat="1" ht="15.75" customHeight="1">
      <c r="B413" s="322"/>
      <c r="C413" s="315" t="s">
        <v>309</v>
      </c>
      <c r="D413" s="315">
        <f>B413</f>
        <v>0</v>
      </c>
      <c r="E413" s="322" t="s">
        <v>309</v>
      </c>
      <c r="F413" s="315" t="str">
        <f>IF(B413="","",B413)</f>
        <v/>
      </c>
      <c r="G413" s="323"/>
      <c r="H413" s="322"/>
      <c r="I413" s="315"/>
      <c r="J413" s="315"/>
      <c r="K413" s="322"/>
      <c r="L413" s="315"/>
      <c r="M413" s="313"/>
      <c r="N413" s="319" t="s">
        <v>16</v>
      </c>
      <c r="O413" s="319" t="s">
        <v>16</v>
      </c>
      <c r="P413" s="321"/>
      <c r="Q413" s="320"/>
      <c r="R413" s="313"/>
      <c r="S413" s="319"/>
      <c r="T413" s="319"/>
      <c r="U413" s="319"/>
      <c r="V413" s="319"/>
      <c r="W413" s="319"/>
      <c r="X413" s="319"/>
      <c r="Y413" s="319"/>
    </row>
    <row r="414" spans="2:25" s="308" customFormat="1" ht="15.75" customHeight="1">
      <c r="B414" s="322"/>
      <c r="C414" s="315" t="s">
        <v>309</v>
      </c>
      <c r="D414" s="315">
        <f>B414</f>
        <v>0</v>
      </c>
      <c r="E414" s="322" t="s">
        <v>309</v>
      </c>
      <c r="F414" s="315" t="str">
        <f>IF(B414="","",B414)</f>
        <v/>
      </c>
      <c r="G414" s="323"/>
      <c r="H414" s="322"/>
      <c r="I414" s="315"/>
      <c r="J414" s="315"/>
      <c r="K414" s="322"/>
      <c r="L414" s="315"/>
      <c r="M414" s="313"/>
      <c r="N414" s="319" t="s">
        <v>16</v>
      </c>
      <c r="O414" s="319" t="s">
        <v>16</v>
      </c>
      <c r="P414" s="321"/>
      <c r="Q414" s="320"/>
      <c r="R414" s="313"/>
      <c r="S414" s="319"/>
      <c r="T414" s="319"/>
      <c r="U414" s="319"/>
      <c r="V414" s="319"/>
      <c r="W414" s="319"/>
      <c r="X414" s="319"/>
      <c r="Y414" s="319"/>
    </row>
    <row r="415" spans="2:25" s="308" customFormat="1" ht="15.75" customHeight="1">
      <c r="B415" s="322"/>
      <c r="C415" s="315" t="s">
        <v>309</v>
      </c>
      <c r="D415" s="315">
        <f>B415</f>
        <v>0</v>
      </c>
      <c r="E415" s="322" t="s">
        <v>309</v>
      </c>
      <c r="F415" s="315" t="str">
        <f>IF(B415="","",B415)</f>
        <v/>
      </c>
      <c r="G415" s="323"/>
      <c r="H415" s="322"/>
      <c r="I415" s="315"/>
      <c r="J415" s="315"/>
      <c r="K415" s="322"/>
      <c r="L415" s="315"/>
      <c r="M415" s="313"/>
      <c r="N415" s="319" t="s">
        <v>16</v>
      </c>
      <c r="O415" s="319" t="s">
        <v>16</v>
      </c>
      <c r="P415" s="321"/>
      <c r="Q415" s="320"/>
      <c r="R415" s="313"/>
      <c r="S415" s="319"/>
      <c r="T415" s="319"/>
      <c r="U415" s="319"/>
      <c r="V415" s="319"/>
      <c r="W415" s="319"/>
      <c r="X415" s="319"/>
      <c r="Y415" s="319"/>
    </row>
    <row r="416" spans="2:25" s="308" customFormat="1" ht="15.75" customHeight="1">
      <c r="B416" s="322"/>
      <c r="C416" s="315" t="s">
        <v>309</v>
      </c>
      <c r="D416" s="315">
        <f>B416</f>
        <v>0</v>
      </c>
      <c r="E416" s="322" t="s">
        <v>309</v>
      </c>
      <c r="F416" s="315" t="str">
        <f>IF(B416="","",B416)</f>
        <v/>
      </c>
      <c r="G416" s="323"/>
      <c r="H416" s="322"/>
      <c r="I416" s="315"/>
      <c r="J416" s="315"/>
      <c r="K416" s="322"/>
      <c r="L416" s="315"/>
      <c r="M416" s="313"/>
      <c r="N416" s="319" t="s">
        <v>16</v>
      </c>
      <c r="O416" s="319" t="s">
        <v>16</v>
      </c>
      <c r="P416" s="321"/>
      <c r="Q416" s="320"/>
      <c r="R416" s="313"/>
      <c r="S416" s="319"/>
      <c r="T416" s="319"/>
      <c r="U416" s="319"/>
      <c r="V416" s="319"/>
      <c r="W416" s="319"/>
      <c r="X416" s="319"/>
      <c r="Y416" s="319"/>
    </row>
    <row r="417" spans="2:25" s="308" customFormat="1" ht="15.75" customHeight="1">
      <c r="B417" s="322"/>
      <c r="C417" s="315" t="s">
        <v>309</v>
      </c>
      <c r="D417" s="315">
        <f>B417</f>
        <v>0</v>
      </c>
      <c r="E417" s="322" t="s">
        <v>309</v>
      </c>
      <c r="F417" s="315" t="str">
        <f>IF(B417="","",B417)</f>
        <v/>
      </c>
      <c r="G417" s="323"/>
      <c r="H417" s="322"/>
      <c r="I417" s="315"/>
      <c r="J417" s="315"/>
      <c r="K417" s="322"/>
      <c r="L417" s="315"/>
      <c r="M417" s="313"/>
      <c r="N417" s="319" t="s">
        <v>16</v>
      </c>
      <c r="O417" s="319" t="s">
        <v>16</v>
      </c>
      <c r="P417" s="321"/>
      <c r="Q417" s="320"/>
      <c r="R417" s="313"/>
      <c r="S417" s="319"/>
      <c r="T417" s="319"/>
      <c r="U417" s="319"/>
      <c r="V417" s="319"/>
      <c r="W417" s="319"/>
      <c r="X417" s="319"/>
      <c r="Y417" s="319"/>
    </row>
    <row r="418" spans="8:15" s="308" customFormat="1" ht="15.75" customHeight="1">
      <c r="H418" s="310"/>
      <c r="K418" s="310"/>
      <c r="N418" s="310"/>
      <c r="O418" s="310"/>
    </row>
    <row r="419" spans="8:15" s="308" customFormat="1" ht="15.75" customHeight="1">
      <c r="H419" s="310"/>
      <c r="K419" s="310"/>
      <c r="N419" s="310"/>
      <c r="O419" s="310"/>
    </row>
    <row r="420" spans="8:15" s="308" customFormat="1" ht="15.75" customHeight="1">
      <c r="H420" s="310"/>
      <c r="K420" s="310"/>
      <c r="N420" s="310"/>
      <c r="O420" s="310"/>
    </row>
    <row r="421" spans="8:15" s="308" customFormat="1" ht="15.75" customHeight="1">
      <c r="H421" s="310"/>
      <c r="K421" s="310"/>
      <c r="N421" s="310"/>
      <c r="O421" s="310"/>
    </row>
    <row r="422" spans="8:15" s="308" customFormat="1" ht="15.75" customHeight="1">
      <c r="H422" s="310"/>
      <c r="K422" s="310"/>
      <c r="N422" s="310"/>
      <c r="O422" s="310"/>
    </row>
    <row r="423" spans="8:15" s="308" customFormat="1" ht="15.75" customHeight="1">
      <c r="H423" s="310"/>
      <c r="K423" s="310"/>
      <c r="N423" s="310"/>
      <c r="O423" s="310"/>
    </row>
    <row r="424" spans="8:15" s="308" customFormat="1" ht="15.75" customHeight="1">
      <c r="H424" s="310"/>
      <c r="K424" s="310"/>
      <c r="N424" s="310"/>
      <c r="O424" s="310"/>
    </row>
    <row r="425" spans="8:15" s="308" customFormat="1" ht="15.75" customHeight="1">
      <c r="H425" s="310"/>
      <c r="K425" s="310"/>
      <c r="N425" s="310"/>
      <c r="O425" s="310"/>
    </row>
    <row r="426" spans="8:15" s="308" customFormat="1" ht="15.75" customHeight="1">
      <c r="H426" s="310"/>
      <c r="K426" s="310"/>
      <c r="N426" s="310"/>
      <c r="O426" s="310"/>
    </row>
    <row r="427" spans="8:15" s="308" customFormat="1" ht="15.75" customHeight="1">
      <c r="H427" s="310"/>
      <c r="K427" s="310"/>
      <c r="N427" s="310"/>
      <c r="O427" s="310"/>
    </row>
    <row r="428" spans="8:15" s="308" customFormat="1" ht="15.75" customHeight="1">
      <c r="H428" s="310"/>
      <c r="K428" s="310"/>
      <c r="N428" s="310"/>
      <c r="O428" s="310"/>
    </row>
    <row r="429" spans="8:15" s="308" customFormat="1" ht="15.75" customHeight="1">
      <c r="H429" s="310"/>
      <c r="K429" s="310"/>
      <c r="N429" s="310"/>
      <c r="O429" s="310"/>
    </row>
    <row r="430" spans="8:15" s="308" customFormat="1" ht="15.75" customHeight="1">
      <c r="H430" s="310"/>
      <c r="K430" s="310"/>
      <c r="N430" s="310"/>
      <c r="O430" s="310"/>
    </row>
    <row r="431" spans="8:15" s="308" customFormat="1" ht="15.75" customHeight="1">
      <c r="H431" s="310"/>
      <c r="K431" s="310"/>
      <c r="N431" s="310"/>
      <c r="O431" s="310"/>
    </row>
    <row r="432" spans="8:15" s="308" customFormat="1" ht="15.75" customHeight="1">
      <c r="H432" s="310"/>
      <c r="K432" s="310"/>
      <c r="N432" s="310"/>
      <c r="O432" s="310"/>
    </row>
    <row r="433" spans="8:15" s="308" customFormat="1" ht="15.75" customHeight="1">
      <c r="H433" s="310"/>
      <c r="K433" s="310"/>
      <c r="N433" s="310"/>
      <c r="O433" s="310"/>
    </row>
    <row r="434" spans="8:15" s="308" customFormat="1" ht="15.75" customHeight="1">
      <c r="H434" s="310"/>
      <c r="K434" s="310"/>
      <c r="N434" s="310"/>
      <c r="O434" s="310"/>
    </row>
    <row r="435" spans="8:15" s="308" customFormat="1" ht="15.75" customHeight="1">
      <c r="H435" s="310"/>
      <c r="K435" s="310"/>
      <c r="N435" s="310"/>
      <c r="O435" s="310"/>
    </row>
    <row r="436" spans="8:15" s="308" customFormat="1" ht="15.75" customHeight="1">
      <c r="H436" s="310"/>
      <c r="K436" s="310"/>
      <c r="N436" s="310"/>
      <c r="O436" s="310"/>
    </row>
    <row r="437" spans="8:15" s="308" customFormat="1" ht="15.75" customHeight="1">
      <c r="H437" s="310"/>
      <c r="K437" s="310"/>
      <c r="N437" s="310"/>
      <c r="O437" s="310"/>
    </row>
    <row r="438" spans="8:15" s="308" customFormat="1" ht="15.75" customHeight="1">
      <c r="H438" s="310"/>
      <c r="K438" s="310"/>
      <c r="N438" s="310"/>
      <c r="O438" s="310"/>
    </row>
    <row r="439" spans="8:15" s="308" customFormat="1" ht="15.75" customHeight="1">
      <c r="H439" s="310"/>
      <c r="K439" s="310"/>
      <c r="N439" s="310"/>
      <c r="O439" s="310"/>
    </row>
    <row r="440" spans="8:15" s="308" customFormat="1" ht="15.75" customHeight="1">
      <c r="H440" s="310"/>
      <c r="K440" s="310"/>
      <c r="N440" s="310"/>
      <c r="O440" s="310"/>
    </row>
    <row r="441" spans="8:15" s="308" customFormat="1" ht="15.75" customHeight="1">
      <c r="H441" s="310"/>
      <c r="K441" s="310"/>
      <c r="N441" s="310"/>
      <c r="O441" s="310"/>
    </row>
    <row r="442" spans="8:15" s="308" customFormat="1" ht="15.75" customHeight="1">
      <c r="H442" s="310"/>
      <c r="K442" s="310"/>
      <c r="N442" s="310"/>
      <c r="O442" s="310"/>
    </row>
    <row r="443" spans="8:15" s="308" customFormat="1" ht="15.75" customHeight="1">
      <c r="H443" s="310"/>
      <c r="K443" s="310"/>
      <c r="N443" s="310"/>
      <c r="O443" s="310"/>
    </row>
    <row r="444" spans="8:15" s="308" customFormat="1" ht="15.75" customHeight="1">
      <c r="H444" s="310"/>
      <c r="K444" s="310"/>
      <c r="N444" s="310"/>
      <c r="O444" s="310"/>
    </row>
    <row r="445" spans="8:15" s="308" customFormat="1" ht="15.75" customHeight="1">
      <c r="H445" s="310"/>
      <c r="K445" s="310"/>
      <c r="N445" s="310"/>
      <c r="O445" s="310"/>
    </row>
    <row r="446" spans="8:15" s="308" customFormat="1" ht="15.75" customHeight="1">
      <c r="H446" s="310"/>
      <c r="K446" s="310"/>
      <c r="N446" s="310"/>
      <c r="O446" s="310"/>
    </row>
    <row r="447" spans="8:15" s="308" customFormat="1" ht="15.75" customHeight="1">
      <c r="H447" s="310"/>
      <c r="K447" s="310"/>
      <c r="N447" s="310"/>
      <c r="O447" s="310"/>
    </row>
    <row r="448" spans="8:15" s="308" customFormat="1" ht="15.75" customHeight="1">
      <c r="H448" s="310"/>
      <c r="K448" s="310"/>
      <c r="N448" s="310"/>
      <c r="O448" s="310"/>
    </row>
    <row r="449" spans="8:15" s="308" customFormat="1" ht="15.75" customHeight="1">
      <c r="H449" s="310"/>
      <c r="K449" s="310"/>
      <c r="N449" s="310"/>
      <c r="O449" s="310"/>
    </row>
    <row r="450" spans="8:15" s="308" customFormat="1" ht="15.75" customHeight="1">
      <c r="H450" s="310"/>
      <c r="K450" s="310"/>
      <c r="N450" s="310"/>
      <c r="O450" s="310"/>
    </row>
    <row r="451" spans="8:15" s="308" customFormat="1" ht="15.75" customHeight="1">
      <c r="H451" s="310"/>
      <c r="K451" s="310"/>
      <c r="N451" s="310"/>
      <c r="O451" s="310"/>
    </row>
    <row r="452" spans="8:15" s="308" customFormat="1" ht="15.75" customHeight="1">
      <c r="H452" s="310"/>
      <c r="K452" s="310"/>
      <c r="N452" s="310"/>
      <c r="O452" s="310"/>
    </row>
    <row r="453" spans="8:15" s="308" customFormat="1" ht="15.75" customHeight="1">
      <c r="H453" s="310"/>
      <c r="K453" s="310"/>
      <c r="N453" s="310"/>
      <c r="O453" s="310"/>
    </row>
    <row r="454" spans="8:15" s="308" customFormat="1" ht="15.75" customHeight="1">
      <c r="H454" s="310"/>
      <c r="K454" s="310"/>
      <c r="N454" s="310"/>
      <c r="O454" s="310"/>
    </row>
    <row r="455" spans="8:15" s="308" customFormat="1" ht="15.75" customHeight="1">
      <c r="H455" s="310"/>
      <c r="K455" s="310"/>
      <c r="N455" s="310"/>
      <c r="O455" s="310"/>
    </row>
    <row r="456" spans="8:15" s="308" customFormat="1" ht="15.75" customHeight="1">
      <c r="H456" s="310"/>
      <c r="K456" s="310"/>
      <c r="N456" s="310"/>
      <c r="O456" s="310"/>
    </row>
    <row r="457" spans="8:15" s="308" customFormat="1" ht="15.75" customHeight="1">
      <c r="H457" s="310"/>
      <c r="K457" s="310"/>
      <c r="N457" s="310"/>
      <c r="O457" s="310"/>
    </row>
    <row r="458" spans="8:15" s="308" customFormat="1" ht="15.75" customHeight="1">
      <c r="H458" s="310"/>
      <c r="K458" s="310"/>
      <c r="N458" s="310"/>
      <c r="O458" s="310"/>
    </row>
    <row r="459" spans="8:15" s="308" customFormat="1" ht="15.75" customHeight="1">
      <c r="H459" s="310"/>
      <c r="K459" s="310"/>
      <c r="N459" s="310"/>
      <c r="O459" s="310"/>
    </row>
    <row r="460" spans="8:15" s="308" customFormat="1" ht="15.75" customHeight="1">
      <c r="H460" s="310"/>
      <c r="K460" s="310"/>
      <c r="N460" s="310"/>
      <c r="O460" s="310"/>
    </row>
    <row r="461" spans="8:15" s="308" customFormat="1" ht="15.75" customHeight="1">
      <c r="H461" s="310"/>
      <c r="K461" s="310"/>
      <c r="N461" s="310"/>
      <c r="O461" s="310"/>
    </row>
    <row r="462" spans="8:15" s="308" customFormat="1" ht="15.75" customHeight="1">
      <c r="H462" s="310"/>
      <c r="K462" s="310"/>
      <c r="N462" s="310"/>
      <c r="O462" s="310"/>
    </row>
    <row r="463" spans="8:15" s="308" customFormat="1" ht="15.75" customHeight="1">
      <c r="H463" s="310"/>
      <c r="K463" s="310"/>
      <c r="N463" s="310"/>
      <c r="O463" s="310"/>
    </row>
    <row r="464" spans="8:15" s="308" customFormat="1" ht="15.75" customHeight="1">
      <c r="H464" s="310"/>
      <c r="K464" s="310"/>
      <c r="N464" s="310"/>
      <c r="O464" s="310"/>
    </row>
    <row r="465" spans="8:15" s="308" customFormat="1" ht="15.75" customHeight="1">
      <c r="H465" s="310"/>
      <c r="K465" s="310"/>
      <c r="N465" s="310"/>
      <c r="O465" s="310"/>
    </row>
    <row r="466" spans="8:15" s="308" customFormat="1" ht="15.75" customHeight="1">
      <c r="H466" s="310"/>
      <c r="K466" s="310"/>
      <c r="N466" s="310"/>
      <c r="O466" s="310"/>
    </row>
    <row r="467" spans="8:15" s="308" customFormat="1" ht="15.75" customHeight="1">
      <c r="H467" s="310"/>
      <c r="K467" s="310"/>
      <c r="N467" s="310"/>
      <c r="O467" s="310"/>
    </row>
    <row r="468" spans="8:15" s="308" customFormat="1" ht="15.75" customHeight="1">
      <c r="H468" s="310"/>
      <c r="K468" s="310"/>
      <c r="N468" s="310"/>
      <c r="O468" s="310"/>
    </row>
    <row r="469" spans="8:15" s="308" customFormat="1" ht="15.75" customHeight="1">
      <c r="H469" s="310"/>
      <c r="K469" s="310"/>
      <c r="N469" s="310"/>
      <c r="O469" s="310"/>
    </row>
    <row r="470" spans="8:15" s="308" customFormat="1" ht="15.75" customHeight="1">
      <c r="H470" s="310"/>
      <c r="K470" s="310"/>
      <c r="N470" s="310"/>
      <c r="O470" s="310"/>
    </row>
    <row r="471" spans="8:15" s="308" customFormat="1" ht="15.75" customHeight="1">
      <c r="H471" s="310"/>
      <c r="K471" s="310"/>
      <c r="N471" s="310"/>
      <c r="O471" s="310"/>
    </row>
    <row r="472" spans="8:15" s="308" customFormat="1" ht="15.75" customHeight="1">
      <c r="H472" s="310"/>
      <c r="K472" s="310"/>
      <c r="N472" s="310"/>
      <c r="O472" s="310"/>
    </row>
    <row r="473" spans="8:15" s="308" customFormat="1" ht="15.75" customHeight="1">
      <c r="H473" s="310"/>
      <c r="K473" s="310"/>
      <c r="N473" s="310"/>
      <c r="O473" s="310"/>
    </row>
    <row r="474" spans="8:15" s="308" customFormat="1" ht="15.75" customHeight="1">
      <c r="H474" s="310"/>
      <c r="K474" s="310"/>
      <c r="N474" s="310"/>
      <c r="O474" s="310"/>
    </row>
    <row r="475" spans="8:15" s="308" customFormat="1" ht="15.75" customHeight="1">
      <c r="H475" s="310"/>
      <c r="K475" s="310"/>
      <c r="N475" s="310"/>
      <c r="O475" s="310"/>
    </row>
    <row r="476" spans="8:15" s="308" customFormat="1" ht="15.75" customHeight="1">
      <c r="H476" s="310"/>
      <c r="K476" s="310"/>
      <c r="N476" s="310"/>
      <c r="O476" s="310"/>
    </row>
    <row r="477" spans="8:15" s="308" customFormat="1" ht="15.75" customHeight="1">
      <c r="H477" s="310"/>
      <c r="K477" s="310"/>
      <c r="N477" s="310"/>
      <c r="O477" s="310"/>
    </row>
    <row r="478" spans="8:15" s="308" customFormat="1" ht="15.75" customHeight="1">
      <c r="H478" s="310"/>
      <c r="K478" s="310"/>
      <c r="N478" s="310"/>
      <c r="O478" s="310"/>
    </row>
    <row r="479" spans="8:15" s="308" customFormat="1" ht="15.75" customHeight="1">
      <c r="H479" s="310"/>
      <c r="K479" s="310"/>
      <c r="N479" s="310"/>
      <c r="O479" s="310"/>
    </row>
    <row r="480" spans="8:15" s="308" customFormat="1" ht="15.75" customHeight="1">
      <c r="H480" s="310"/>
      <c r="K480" s="310"/>
      <c r="N480" s="310"/>
      <c r="O480" s="310"/>
    </row>
    <row r="481" spans="8:15" s="308" customFormat="1" ht="15.75" customHeight="1">
      <c r="H481" s="310"/>
      <c r="K481" s="310"/>
      <c r="N481" s="310"/>
      <c r="O481" s="310"/>
    </row>
    <row r="482" spans="8:15" s="308" customFormat="1" ht="15.75" customHeight="1">
      <c r="H482" s="310"/>
      <c r="K482" s="310"/>
      <c r="N482" s="310"/>
      <c r="O482" s="310"/>
    </row>
    <row r="483" spans="8:15" s="308" customFormat="1" ht="15.75" customHeight="1">
      <c r="H483" s="310"/>
      <c r="K483" s="310"/>
      <c r="N483" s="310"/>
      <c r="O483" s="310"/>
    </row>
    <row r="484" spans="8:15" s="308" customFormat="1" ht="15.75" customHeight="1">
      <c r="H484" s="310"/>
      <c r="K484" s="310"/>
      <c r="N484" s="310"/>
      <c r="O484" s="310"/>
    </row>
    <row r="485" spans="8:15" s="308" customFormat="1" ht="15.75" customHeight="1">
      <c r="H485" s="310"/>
      <c r="K485" s="310"/>
      <c r="N485" s="310"/>
      <c r="O485" s="310"/>
    </row>
    <row r="486" spans="8:15" s="308" customFormat="1" ht="15.75" customHeight="1">
      <c r="H486" s="310"/>
      <c r="K486" s="310"/>
      <c r="N486" s="310"/>
      <c r="O486" s="310"/>
    </row>
    <row r="487" spans="8:15" s="308" customFormat="1" ht="15.75" customHeight="1">
      <c r="H487" s="310"/>
      <c r="K487" s="310"/>
      <c r="N487" s="310"/>
      <c r="O487" s="310"/>
    </row>
    <row r="488" spans="8:15" s="308" customFormat="1" ht="15.75" customHeight="1">
      <c r="H488" s="310"/>
      <c r="K488" s="310"/>
      <c r="N488" s="310"/>
      <c r="O488" s="310"/>
    </row>
    <row r="489" spans="8:15" s="308" customFormat="1" ht="15.75" customHeight="1">
      <c r="H489" s="310"/>
      <c r="K489" s="310"/>
      <c r="N489" s="310"/>
      <c r="O489" s="310"/>
    </row>
    <row r="490" spans="8:15" s="308" customFormat="1" ht="15.75" customHeight="1">
      <c r="H490" s="310"/>
      <c r="K490" s="310"/>
      <c r="N490" s="310"/>
      <c r="O490" s="310"/>
    </row>
    <row r="491" spans="8:15" s="308" customFormat="1" ht="15.75" customHeight="1">
      <c r="H491" s="310"/>
      <c r="K491" s="310"/>
      <c r="N491" s="310"/>
      <c r="O491" s="310"/>
    </row>
    <row r="492" spans="8:15" s="308" customFormat="1" ht="15.75" customHeight="1">
      <c r="H492" s="310"/>
      <c r="K492" s="310"/>
      <c r="N492" s="310"/>
      <c r="O492" s="310"/>
    </row>
    <row r="493" spans="8:15" s="308" customFormat="1" ht="15.75" customHeight="1">
      <c r="H493" s="310"/>
      <c r="K493" s="310"/>
      <c r="N493" s="310"/>
      <c r="O493" s="310"/>
    </row>
    <row r="494" spans="8:15" s="308" customFormat="1" ht="15.75" customHeight="1">
      <c r="H494" s="310"/>
      <c r="K494" s="310"/>
      <c r="N494" s="310"/>
      <c r="O494" s="310"/>
    </row>
    <row r="495" spans="8:15" s="308" customFormat="1" ht="15.75" customHeight="1">
      <c r="H495" s="310"/>
      <c r="K495" s="310"/>
      <c r="N495" s="310"/>
      <c r="O495" s="310"/>
    </row>
    <row r="496" spans="8:15" s="308" customFormat="1" ht="15.75" customHeight="1">
      <c r="H496" s="310"/>
      <c r="K496" s="310"/>
      <c r="N496" s="310"/>
      <c r="O496" s="310"/>
    </row>
    <row r="497" spans="8:15" s="308" customFormat="1" ht="15.75" customHeight="1">
      <c r="H497" s="310"/>
      <c r="K497" s="310"/>
      <c r="N497" s="310"/>
      <c r="O497" s="310"/>
    </row>
    <row r="498" spans="8:15" s="308" customFormat="1" ht="15.75" customHeight="1">
      <c r="H498" s="310"/>
      <c r="K498" s="310"/>
      <c r="N498" s="310"/>
      <c r="O498" s="310"/>
    </row>
    <row r="499" spans="8:15" s="308" customFormat="1" ht="15.75" customHeight="1">
      <c r="H499" s="310"/>
      <c r="K499" s="310"/>
      <c r="N499" s="310"/>
      <c r="O499" s="310"/>
    </row>
    <row r="500" spans="8:15" s="308" customFormat="1" ht="15.75" customHeight="1">
      <c r="H500" s="310"/>
      <c r="K500" s="310"/>
      <c r="N500" s="310"/>
      <c r="O500" s="310"/>
    </row>
    <row r="501" spans="8:15" s="308" customFormat="1" ht="15.75" customHeight="1">
      <c r="H501" s="310"/>
      <c r="K501" s="310"/>
      <c r="N501" s="310"/>
      <c r="O501" s="310"/>
    </row>
    <row r="502" spans="8:15" s="308" customFormat="1" ht="15.75" customHeight="1">
      <c r="H502" s="310"/>
      <c r="K502" s="310"/>
      <c r="N502" s="310"/>
      <c r="O502" s="310"/>
    </row>
    <row r="503" spans="8:15" s="308" customFormat="1" ht="15.75" customHeight="1">
      <c r="H503" s="310"/>
      <c r="K503" s="310"/>
      <c r="N503" s="310"/>
      <c r="O503" s="310"/>
    </row>
    <row r="504" spans="8:15" s="308" customFormat="1" ht="15.75" customHeight="1">
      <c r="H504" s="310"/>
      <c r="K504" s="310"/>
      <c r="N504" s="310"/>
      <c r="O504" s="310"/>
    </row>
    <row r="505" spans="8:15" s="308" customFormat="1" ht="15.75" customHeight="1">
      <c r="H505" s="310"/>
      <c r="K505" s="310"/>
      <c r="N505" s="310"/>
      <c r="O505" s="310"/>
    </row>
    <row r="506" spans="8:15" s="308" customFormat="1" ht="15.75" customHeight="1">
      <c r="H506" s="310"/>
      <c r="K506" s="310"/>
      <c r="N506" s="310"/>
      <c r="O506" s="310"/>
    </row>
    <row r="507" spans="8:15" s="308" customFormat="1" ht="15.75" customHeight="1">
      <c r="H507" s="310"/>
      <c r="K507" s="310"/>
      <c r="N507" s="310"/>
      <c r="O507" s="310"/>
    </row>
    <row r="508" spans="8:15" s="308" customFormat="1" ht="15.75" customHeight="1">
      <c r="H508" s="310"/>
      <c r="K508" s="310"/>
      <c r="N508" s="310"/>
      <c r="O508" s="310"/>
    </row>
    <row r="509" spans="8:15" s="308" customFormat="1" ht="15.75" customHeight="1">
      <c r="H509" s="310"/>
      <c r="K509" s="310"/>
      <c r="N509" s="310"/>
      <c r="O509" s="310"/>
    </row>
    <row r="510" spans="8:15" s="308" customFormat="1" ht="15.75" customHeight="1">
      <c r="H510" s="310"/>
      <c r="K510" s="310"/>
      <c r="N510" s="310"/>
      <c r="O510" s="310"/>
    </row>
    <row r="511" spans="8:15" s="308" customFormat="1" ht="15.75" customHeight="1">
      <c r="H511" s="310"/>
      <c r="K511" s="310"/>
      <c r="N511" s="310"/>
      <c r="O511" s="310"/>
    </row>
    <row r="512" spans="8:15" s="308" customFormat="1" ht="15.75" customHeight="1">
      <c r="H512" s="310"/>
      <c r="K512" s="310"/>
      <c r="N512" s="310"/>
      <c r="O512" s="310"/>
    </row>
    <row r="513" spans="8:15" s="308" customFormat="1" ht="15.75" customHeight="1">
      <c r="H513" s="310"/>
      <c r="K513" s="310"/>
      <c r="N513" s="310"/>
      <c r="O513" s="310"/>
    </row>
    <row r="514" spans="8:15" s="308" customFormat="1" ht="15.75" customHeight="1">
      <c r="H514" s="310"/>
      <c r="K514" s="310"/>
      <c r="N514" s="310"/>
      <c r="O514" s="310"/>
    </row>
    <row r="515" spans="8:15" s="308" customFormat="1" ht="15.75" customHeight="1">
      <c r="H515" s="310"/>
      <c r="K515" s="310"/>
      <c r="N515" s="310"/>
      <c r="O515" s="310"/>
    </row>
    <row r="516" spans="8:15" s="308" customFormat="1" ht="15.75" customHeight="1">
      <c r="H516" s="310"/>
      <c r="K516" s="310"/>
      <c r="N516" s="310"/>
      <c r="O516" s="310"/>
    </row>
    <row r="517" spans="8:15" s="308" customFormat="1" ht="15.75" customHeight="1">
      <c r="H517" s="310"/>
      <c r="K517" s="310"/>
      <c r="N517" s="310"/>
      <c r="O517" s="310"/>
    </row>
    <row r="518" spans="8:15" s="308" customFormat="1" ht="15.75" customHeight="1">
      <c r="H518" s="310"/>
      <c r="K518" s="310"/>
      <c r="N518" s="310"/>
      <c r="O518" s="310"/>
    </row>
    <row r="519" spans="8:15" s="308" customFormat="1" ht="15.75" customHeight="1">
      <c r="H519" s="310"/>
      <c r="K519" s="310"/>
      <c r="N519" s="310"/>
      <c r="O519" s="310"/>
    </row>
    <row r="520" spans="8:15" s="308" customFormat="1" ht="15.75" customHeight="1">
      <c r="H520" s="310"/>
      <c r="K520" s="310"/>
      <c r="N520" s="310"/>
      <c r="O520" s="310"/>
    </row>
    <row r="521" spans="8:15" s="308" customFormat="1" ht="15.75" customHeight="1">
      <c r="H521" s="310"/>
      <c r="K521" s="310"/>
      <c r="N521" s="310"/>
      <c r="O521" s="310"/>
    </row>
    <row r="522" spans="8:15" s="308" customFormat="1" ht="15.75" customHeight="1">
      <c r="H522" s="310"/>
      <c r="K522" s="310"/>
      <c r="N522" s="310"/>
      <c r="O522" s="310"/>
    </row>
    <row r="523" spans="8:15" s="308" customFormat="1" ht="15.75" customHeight="1">
      <c r="H523" s="310"/>
      <c r="K523" s="310"/>
      <c r="N523" s="310"/>
      <c r="O523" s="310"/>
    </row>
    <row r="524" spans="8:15" s="308" customFormat="1" ht="15.75" customHeight="1">
      <c r="H524" s="310"/>
      <c r="K524" s="310"/>
      <c r="N524" s="310"/>
      <c r="O524" s="310"/>
    </row>
    <row r="525" spans="8:15" s="308" customFormat="1" ht="15.75" customHeight="1">
      <c r="H525" s="310"/>
      <c r="K525" s="310"/>
      <c r="N525" s="310"/>
      <c r="O525" s="310"/>
    </row>
    <row r="526" spans="8:15" s="308" customFormat="1" ht="15.75" customHeight="1">
      <c r="H526" s="310"/>
      <c r="K526" s="310"/>
      <c r="N526" s="310"/>
      <c r="O526" s="310"/>
    </row>
    <row r="527" spans="8:15" s="308" customFormat="1" ht="15.75" customHeight="1">
      <c r="H527" s="310"/>
      <c r="K527" s="310"/>
      <c r="N527" s="310"/>
      <c r="O527" s="310"/>
    </row>
    <row r="528" spans="8:15" s="308" customFormat="1" ht="15.75" customHeight="1">
      <c r="H528" s="310"/>
      <c r="K528" s="310"/>
      <c r="N528" s="310"/>
      <c r="O528" s="310"/>
    </row>
    <row r="529" spans="8:15" s="308" customFormat="1" ht="15.75" customHeight="1">
      <c r="H529" s="310"/>
      <c r="K529" s="310"/>
      <c r="N529" s="310"/>
      <c r="O529" s="310"/>
    </row>
    <row r="530" spans="8:15" s="308" customFormat="1" ht="15.75" customHeight="1">
      <c r="H530" s="310"/>
      <c r="K530" s="310"/>
      <c r="N530" s="310"/>
      <c r="O530" s="310"/>
    </row>
    <row r="531" spans="8:15" s="308" customFormat="1" ht="15.75" customHeight="1">
      <c r="H531" s="310"/>
      <c r="K531" s="310"/>
      <c r="N531" s="310"/>
      <c r="O531" s="310"/>
    </row>
    <row r="532" spans="8:15" s="308" customFormat="1" ht="15.75" customHeight="1">
      <c r="H532" s="310"/>
      <c r="K532" s="310"/>
      <c r="N532" s="310"/>
      <c r="O532" s="310"/>
    </row>
    <row r="533" spans="8:15" s="308" customFormat="1" ht="15.75" customHeight="1">
      <c r="H533" s="310"/>
      <c r="K533" s="310"/>
      <c r="N533" s="310"/>
      <c r="O533" s="310"/>
    </row>
    <row r="534" spans="8:15" s="308" customFormat="1" ht="15.75" customHeight="1">
      <c r="H534" s="310"/>
      <c r="K534" s="310"/>
      <c r="N534" s="310"/>
      <c r="O534" s="310"/>
    </row>
    <row r="535" spans="8:15" s="308" customFormat="1" ht="15.75" customHeight="1">
      <c r="H535" s="310"/>
      <c r="K535" s="310"/>
      <c r="N535" s="310"/>
      <c r="O535" s="310"/>
    </row>
    <row r="536" spans="8:15" s="308" customFormat="1" ht="15.75" customHeight="1">
      <c r="H536" s="310"/>
      <c r="K536" s="310"/>
      <c r="N536" s="310"/>
      <c r="O536" s="310"/>
    </row>
    <row r="537" spans="8:15" s="308" customFormat="1" ht="15.75" customHeight="1">
      <c r="H537" s="310"/>
      <c r="K537" s="310"/>
      <c r="N537" s="310"/>
      <c r="O537" s="310"/>
    </row>
    <row r="538" spans="8:15" s="308" customFormat="1" ht="15.75" customHeight="1">
      <c r="H538" s="310"/>
      <c r="K538" s="310"/>
      <c r="N538" s="310"/>
      <c r="O538" s="310"/>
    </row>
    <row r="539" spans="8:15" s="308" customFormat="1" ht="15.75" customHeight="1">
      <c r="H539" s="310"/>
      <c r="K539" s="310"/>
      <c r="N539" s="310"/>
      <c r="O539" s="310"/>
    </row>
    <row r="540" spans="8:15" s="308" customFormat="1" ht="15.75" customHeight="1">
      <c r="H540" s="310"/>
      <c r="K540" s="310"/>
      <c r="N540" s="310"/>
      <c r="O540" s="310"/>
    </row>
    <row r="541" spans="8:15" s="308" customFormat="1" ht="15.75" customHeight="1">
      <c r="H541" s="310"/>
      <c r="K541" s="310"/>
      <c r="N541" s="310"/>
      <c r="O541" s="310"/>
    </row>
    <row r="542" spans="8:15" s="308" customFormat="1" ht="15.75" customHeight="1">
      <c r="H542" s="310"/>
      <c r="K542" s="310"/>
      <c r="N542" s="310"/>
      <c r="O542" s="310"/>
    </row>
    <row r="543" spans="8:15" s="308" customFormat="1" ht="15.75" customHeight="1">
      <c r="H543" s="310"/>
      <c r="K543" s="310"/>
      <c r="N543" s="310"/>
      <c r="O543" s="310"/>
    </row>
    <row r="544" spans="8:15" s="308" customFormat="1" ht="15.75" customHeight="1">
      <c r="H544" s="310"/>
      <c r="K544" s="310"/>
      <c r="N544" s="310"/>
      <c r="O544" s="310"/>
    </row>
    <row r="545" spans="8:15" s="308" customFormat="1" ht="15.75" customHeight="1">
      <c r="H545" s="310"/>
      <c r="K545" s="310"/>
      <c r="N545" s="310"/>
      <c r="O545" s="310"/>
    </row>
    <row r="546" spans="8:15" s="308" customFormat="1" ht="15.75" customHeight="1">
      <c r="H546" s="310"/>
      <c r="K546" s="310"/>
      <c r="N546" s="310"/>
      <c r="O546" s="310"/>
    </row>
    <row r="547" spans="8:15" s="308" customFormat="1" ht="15.75" customHeight="1">
      <c r="H547" s="310"/>
      <c r="K547" s="310"/>
      <c r="N547" s="310"/>
      <c r="O547" s="310"/>
    </row>
    <row r="548" spans="8:15" s="308" customFormat="1" ht="15.75" customHeight="1">
      <c r="H548" s="310"/>
      <c r="K548" s="310"/>
      <c r="N548" s="310"/>
      <c r="O548" s="310"/>
    </row>
    <row r="549" spans="8:15" s="308" customFormat="1" ht="15.75" customHeight="1">
      <c r="H549" s="310"/>
      <c r="K549" s="310"/>
      <c r="N549" s="310"/>
      <c r="O549" s="310"/>
    </row>
    <row r="550" spans="8:15" s="308" customFormat="1" ht="15.75" customHeight="1">
      <c r="H550" s="310"/>
      <c r="K550" s="310"/>
      <c r="N550" s="310"/>
      <c r="O550" s="310"/>
    </row>
    <row r="551" spans="8:15" s="308" customFormat="1" ht="15.75" customHeight="1">
      <c r="H551" s="310"/>
      <c r="K551" s="310"/>
      <c r="N551" s="310"/>
      <c r="O551" s="310"/>
    </row>
    <row r="552" spans="8:15" s="308" customFormat="1" ht="15.75" customHeight="1">
      <c r="H552" s="310"/>
      <c r="K552" s="310"/>
      <c r="N552" s="310"/>
      <c r="O552" s="310"/>
    </row>
    <row r="553" spans="8:15" s="308" customFormat="1" ht="15.75" customHeight="1">
      <c r="H553" s="310"/>
      <c r="K553" s="310"/>
      <c r="N553" s="310"/>
      <c r="O553" s="310"/>
    </row>
    <row r="554" spans="8:15" s="308" customFormat="1" ht="15.75" customHeight="1">
      <c r="H554" s="310"/>
      <c r="K554" s="310"/>
      <c r="N554" s="310"/>
      <c r="O554" s="310"/>
    </row>
    <row r="555" spans="1:24" s="307" customFormat="1" ht="14.25" customHeight="1">
      <c r="A555" s="308"/>
      <c r="H555" s="309"/>
      <c r="P555" s="308"/>
      <c r="Q555" s="308"/>
      <c r="R555" s="308"/>
      <c r="S555" s="308"/>
      <c r="T555" s="308"/>
      <c r="U555" s="308"/>
      <c r="V555" s="308"/>
      <c r="W555" s="308"/>
      <c r="X555" s="308"/>
    </row>
    <row r="556" spans="1:24" s="307" customFormat="1" ht="14.25" customHeight="1">
      <c r="A556" s="308"/>
      <c r="H556" s="309"/>
      <c r="P556" s="308"/>
      <c r="Q556" s="308"/>
      <c r="R556" s="308"/>
      <c r="S556" s="308"/>
      <c r="T556" s="308"/>
      <c r="U556" s="308"/>
      <c r="V556" s="308"/>
      <c r="W556" s="308"/>
      <c r="X556" s="308"/>
    </row>
    <row r="557" spans="1:24" s="307" customFormat="1" ht="14.25" customHeight="1">
      <c r="A557" s="308"/>
      <c r="H557" s="309"/>
      <c r="P557" s="308"/>
      <c r="Q557" s="308"/>
      <c r="R557" s="308"/>
      <c r="S557" s="308"/>
      <c r="T557" s="308"/>
      <c r="U557" s="308"/>
      <c r="V557" s="308"/>
      <c r="W557" s="308"/>
      <c r="X557" s="308"/>
    </row>
    <row r="558" spans="1:24" s="307" customFormat="1" ht="14.25" customHeight="1">
      <c r="A558" s="308"/>
      <c r="H558" s="309"/>
      <c r="P558" s="308"/>
      <c r="Q558" s="308"/>
      <c r="R558" s="308"/>
      <c r="S558" s="308"/>
      <c r="T558" s="308"/>
      <c r="U558" s="308"/>
      <c r="V558" s="308"/>
      <c r="W558" s="308"/>
      <c r="X558" s="308"/>
    </row>
    <row r="559" spans="1:24" s="307" customFormat="1" ht="14.25" customHeight="1">
      <c r="A559" s="308"/>
      <c r="H559" s="309"/>
      <c r="P559" s="308"/>
      <c r="Q559" s="308"/>
      <c r="R559" s="308"/>
      <c r="S559" s="308"/>
      <c r="T559" s="308"/>
      <c r="U559" s="308"/>
      <c r="V559" s="308"/>
      <c r="W559" s="308"/>
      <c r="X559" s="308"/>
    </row>
    <row r="560" spans="1:24" s="307" customFormat="1" ht="14.25" customHeight="1">
      <c r="A560" s="308"/>
      <c r="H560" s="309"/>
      <c r="P560" s="308"/>
      <c r="Q560" s="308"/>
      <c r="R560" s="308"/>
      <c r="S560" s="308"/>
      <c r="T560" s="308"/>
      <c r="U560" s="308"/>
      <c r="V560" s="308"/>
      <c r="W560" s="308"/>
      <c r="X560" s="308"/>
    </row>
    <row r="561" spans="1:24" s="307" customFormat="1" ht="14.25" customHeight="1">
      <c r="A561" s="308"/>
      <c r="H561" s="309"/>
      <c r="P561" s="308"/>
      <c r="Q561" s="308"/>
      <c r="R561" s="308"/>
      <c r="S561" s="308"/>
      <c r="T561" s="308"/>
      <c r="U561" s="308"/>
      <c r="V561" s="308"/>
      <c r="W561" s="308"/>
      <c r="X561" s="308"/>
    </row>
    <row r="562" spans="8:24" s="307" customFormat="1" ht="14.25" customHeight="1">
      <c r="H562" s="309"/>
      <c r="P562" s="308"/>
      <c r="Q562" s="308"/>
      <c r="R562" s="308"/>
      <c r="S562" s="308"/>
      <c r="T562" s="308"/>
      <c r="U562" s="308"/>
      <c r="V562" s="308"/>
      <c r="W562" s="308"/>
      <c r="X562" s="308"/>
    </row>
    <row r="563" spans="8:24" s="307" customFormat="1" ht="14.25" customHeight="1">
      <c r="H563" s="309"/>
      <c r="P563" s="308"/>
      <c r="Q563" s="308"/>
      <c r="R563" s="308"/>
      <c r="S563" s="308"/>
      <c r="T563" s="308"/>
      <c r="U563" s="308"/>
      <c r="V563" s="308"/>
      <c r="W563" s="308"/>
      <c r="X563" s="308"/>
    </row>
    <row r="564" spans="8:24" s="307" customFormat="1" ht="14.25" customHeight="1">
      <c r="H564" s="309"/>
      <c r="P564" s="308"/>
      <c r="Q564" s="308"/>
      <c r="R564" s="308"/>
      <c r="S564" s="308"/>
      <c r="T564" s="308"/>
      <c r="U564" s="308"/>
      <c r="V564" s="308"/>
      <c r="W564" s="308"/>
      <c r="X564" s="308"/>
    </row>
    <row r="565" spans="16:24" s="307" customFormat="1" ht="14.25" customHeight="1">
      <c r="P565" s="308"/>
      <c r="Q565" s="308"/>
      <c r="R565" s="308"/>
      <c r="S565" s="308"/>
      <c r="T565" s="308"/>
      <c r="U565" s="308"/>
      <c r="V565" s="308"/>
      <c r="W565" s="308"/>
      <c r="X565" s="308"/>
    </row>
    <row r="566" spans="16:24" s="307" customFormat="1" ht="14.25" customHeight="1">
      <c r="P566" s="308"/>
      <c r="Q566" s="308"/>
      <c r="R566" s="308"/>
      <c r="S566" s="308"/>
      <c r="T566" s="308"/>
      <c r="U566" s="308"/>
      <c r="V566" s="308"/>
      <c r="W566" s="308"/>
      <c r="X566" s="308"/>
    </row>
    <row r="567" spans="16:24" s="307" customFormat="1" ht="14.25" customHeight="1">
      <c r="P567" s="308"/>
      <c r="Q567" s="308"/>
      <c r="R567" s="308"/>
      <c r="S567" s="308"/>
      <c r="T567" s="308"/>
      <c r="U567" s="308"/>
      <c r="V567" s="308"/>
      <c r="W567" s="308"/>
      <c r="X567" s="308"/>
    </row>
    <row r="568" spans="16:24" s="307" customFormat="1" ht="14.25" customHeight="1">
      <c r="P568" s="308"/>
      <c r="Q568" s="308"/>
      <c r="R568" s="308"/>
      <c r="S568" s="308"/>
      <c r="T568" s="308"/>
      <c r="U568" s="308"/>
      <c r="V568" s="308"/>
      <c r="W568" s="308"/>
      <c r="X568" s="308"/>
    </row>
    <row r="569" spans="16:24" s="307" customFormat="1" ht="14.25" customHeight="1">
      <c r="P569" s="308"/>
      <c r="Q569" s="308"/>
      <c r="R569" s="308"/>
      <c r="S569" s="308"/>
      <c r="T569" s="308"/>
      <c r="U569" s="308"/>
      <c r="V569" s="308"/>
      <c r="W569" s="308"/>
      <c r="X569" s="308"/>
    </row>
    <row r="570" spans="16:24" s="307" customFormat="1" ht="14.25" customHeight="1">
      <c r="P570" s="308"/>
      <c r="Q570" s="308"/>
      <c r="R570" s="308"/>
      <c r="S570" s="308"/>
      <c r="T570" s="308"/>
      <c r="U570" s="308"/>
      <c r="V570" s="308"/>
      <c r="W570" s="308"/>
      <c r="X570" s="308"/>
    </row>
    <row r="571" spans="16:24" s="307" customFormat="1" ht="14.25" customHeight="1">
      <c r="P571" s="308"/>
      <c r="Q571" s="308"/>
      <c r="R571" s="308"/>
      <c r="S571" s="308"/>
      <c r="T571" s="308"/>
      <c r="U571" s="308"/>
      <c r="V571" s="308"/>
      <c r="W571" s="308"/>
      <c r="X571" s="308"/>
    </row>
    <row r="572" spans="16:24" s="307" customFormat="1" ht="14.25" customHeight="1">
      <c r="P572" s="308"/>
      <c r="Q572" s="308"/>
      <c r="R572" s="308"/>
      <c r="S572" s="308"/>
      <c r="T572" s="308"/>
      <c r="U572" s="308"/>
      <c r="V572" s="308"/>
      <c r="W572" s="308"/>
      <c r="X572" s="308"/>
    </row>
    <row r="573" spans="16:24" s="307" customFormat="1" ht="14.25" customHeight="1">
      <c r="P573" s="308"/>
      <c r="Q573" s="308"/>
      <c r="R573" s="308"/>
      <c r="S573" s="308"/>
      <c r="T573" s="308"/>
      <c r="U573" s="308"/>
      <c r="V573" s="308"/>
      <c r="W573" s="308"/>
      <c r="X573" s="308"/>
    </row>
    <row r="574" spans="16:24" s="307" customFormat="1" ht="14.25" customHeight="1">
      <c r="P574" s="308"/>
      <c r="Q574" s="308"/>
      <c r="R574" s="308"/>
      <c r="S574" s="308"/>
      <c r="T574" s="308"/>
      <c r="U574" s="308"/>
      <c r="V574" s="308"/>
      <c r="W574" s="308"/>
      <c r="X574" s="308"/>
    </row>
    <row r="575" spans="16:24" s="307" customFormat="1" ht="14.25" customHeight="1">
      <c r="P575" s="308"/>
      <c r="Q575" s="308"/>
      <c r="R575" s="308"/>
      <c r="S575" s="308"/>
      <c r="T575" s="308"/>
      <c r="U575" s="308"/>
      <c r="V575" s="308"/>
      <c r="W575" s="308"/>
      <c r="X575" s="308"/>
    </row>
    <row r="576" spans="16:24" s="307" customFormat="1" ht="14.25" customHeight="1">
      <c r="P576" s="308"/>
      <c r="Q576" s="308"/>
      <c r="R576" s="308"/>
      <c r="S576" s="308"/>
      <c r="T576" s="308"/>
      <c r="U576" s="308"/>
      <c r="V576" s="308"/>
      <c r="W576" s="308"/>
      <c r="X576" s="308"/>
    </row>
    <row r="577" spans="16:24" s="307" customFormat="1" ht="14.25" customHeight="1">
      <c r="P577" s="305"/>
      <c r="Q577" s="305"/>
      <c r="R577" s="305"/>
      <c r="S577" s="305"/>
      <c r="T577" s="305"/>
      <c r="U577" s="305"/>
      <c r="V577" s="305"/>
      <c r="W577" s="305"/>
      <c r="X577" s="305"/>
    </row>
    <row r="578" spans="16:24" s="307" customFormat="1" ht="14.25" customHeight="1">
      <c r="P578" s="305"/>
      <c r="Q578" s="305"/>
      <c r="R578" s="305"/>
      <c r="S578" s="305"/>
      <c r="T578" s="305"/>
      <c r="U578" s="305"/>
      <c r="V578" s="305"/>
      <c r="W578" s="305"/>
      <c r="X578" s="305"/>
    </row>
    <row r="579" spans="16:24" s="307" customFormat="1" ht="14.25" customHeight="1">
      <c r="P579" s="305"/>
      <c r="Q579" s="305"/>
      <c r="R579" s="305"/>
      <c r="S579" s="305"/>
      <c r="T579" s="305"/>
      <c r="U579" s="305"/>
      <c r="V579" s="305"/>
      <c r="W579" s="305"/>
      <c r="X579" s="305"/>
    </row>
    <row r="580" spans="16:24" s="307" customFormat="1" ht="14.25" customHeight="1">
      <c r="P580" s="305"/>
      <c r="Q580" s="305"/>
      <c r="R580" s="305"/>
      <c r="S580" s="305"/>
      <c r="T580" s="305"/>
      <c r="U580" s="305"/>
      <c r="V580" s="305"/>
      <c r="W580" s="305"/>
      <c r="X580" s="305"/>
    </row>
    <row r="581" spans="16:24" s="307" customFormat="1" ht="14.25" customHeight="1">
      <c r="P581" s="305"/>
      <c r="Q581" s="305"/>
      <c r="R581" s="305"/>
      <c r="S581" s="305"/>
      <c r="T581" s="305"/>
      <c r="U581" s="305"/>
      <c r="V581" s="305"/>
      <c r="W581" s="305"/>
      <c r="X581" s="305"/>
    </row>
    <row r="582" spans="16:24" s="307" customFormat="1" ht="14.25" customHeight="1">
      <c r="P582" s="305"/>
      <c r="Q582" s="305"/>
      <c r="R582" s="305"/>
      <c r="S582" s="305"/>
      <c r="T582" s="305"/>
      <c r="U582" s="305"/>
      <c r="V582" s="305"/>
      <c r="W582" s="305"/>
      <c r="X582" s="305"/>
    </row>
    <row r="583" spans="16:24" s="307" customFormat="1" ht="14.25" customHeight="1">
      <c r="P583" s="305"/>
      <c r="Q583" s="305"/>
      <c r="R583" s="305"/>
      <c r="S583" s="305"/>
      <c r="T583" s="305"/>
      <c r="U583" s="305"/>
      <c r="V583" s="305"/>
      <c r="W583" s="305"/>
      <c r="X583" s="305"/>
    </row>
    <row r="584" spans="16:24" s="307" customFormat="1" ht="14.25" customHeight="1">
      <c r="P584" s="305"/>
      <c r="Q584" s="305"/>
      <c r="R584" s="305"/>
      <c r="S584" s="305"/>
      <c r="T584" s="305"/>
      <c r="U584" s="305"/>
      <c r="V584" s="305"/>
      <c r="W584" s="305"/>
      <c r="X584" s="305"/>
    </row>
    <row r="585" spans="16:24" s="307" customFormat="1" ht="14.25" customHeight="1">
      <c r="P585" s="305"/>
      <c r="Q585" s="305"/>
      <c r="R585" s="305"/>
      <c r="S585" s="305"/>
      <c r="T585" s="305"/>
      <c r="U585" s="305"/>
      <c r="V585" s="305"/>
      <c r="W585" s="305"/>
      <c r="X585" s="305"/>
    </row>
    <row r="586" spans="16:24" s="307" customFormat="1" ht="14.25" customHeight="1">
      <c r="P586" s="305"/>
      <c r="Q586" s="305"/>
      <c r="R586" s="305"/>
      <c r="S586" s="305"/>
      <c r="T586" s="305"/>
      <c r="U586" s="305"/>
      <c r="V586" s="305"/>
      <c r="W586" s="305"/>
      <c r="X586" s="305"/>
    </row>
    <row r="587" spans="16:24" s="307" customFormat="1" ht="14.25" customHeight="1">
      <c r="P587" s="305"/>
      <c r="Q587" s="305"/>
      <c r="R587" s="305"/>
      <c r="S587" s="305"/>
      <c r="T587" s="305"/>
      <c r="U587" s="305"/>
      <c r="V587" s="305"/>
      <c r="W587" s="305"/>
      <c r="X587" s="305"/>
    </row>
    <row r="588" spans="16:24" s="307" customFormat="1" ht="14.25" customHeight="1">
      <c r="P588" s="305"/>
      <c r="Q588" s="305"/>
      <c r="R588" s="305"/>
      <c r="S588" s="305"/>
      <c r="T588" s="305"/>
      <c r="U588" s="305"/>
      <c r="V588" s="305"/>
      <c r="W588" s="305"/>
      <c r="X588" s="305"/>
    </row>
    <row r="589" spans="16:24" s="307" customFormat="1" ht="14.25" customHeight="1">
      <c r="P589" s="305"/>
      <c r="Q589" s="305"/>
      <c r="R589" s="305"/>
      <c r="S589" s="305"/>
      <c r="T589" s="305"/>
      <c r="U589" s="305"/>
      <c r="V589" s="305"/>
      <c r="W589" s="305"/>
      <c r="X589" s="305"/>
    </row>
    <row r="590" spans="16:24" s="307" customFormat="1" ht="14.25" customHeight="1">
      <c r="P590" s="305"/>
      <c r="Q590" s="305"/>
      <c r="R590" s="305"/>
      <c r="S590" s="305"/>
      <c r="T590" s="305"/>
      <c r="U590" s="305"/>
      <c r="V590" s="305"/>
      <c r="W590" s="305"/>
      <c r="X590" s="305"/>
    </row>
    <row r="591" spans="16:24" s="307" customFormat="1" ht="14.25" customHeight="1">
      <c r="P591" s="305"/>
      <c r="Q591" s="305"/>
      <c r="R591" s="305"/>
      <c r="S591" s="305"/>
      <c r="T591" s="305"/>
      <c r="U591" s="305"/>
      <c r="V591" s="305"/>
      <c r="W591" s="305"/>
      <c r="X591" s="305"/>
    </row>
    <row r="592" spans="16:24" s="307" customFormat="1" ht="14.25" customHeight="1">
      <c r="P592" s="305"/>
      <c r="Q592" s="305"/>
      <c r="R592" s="305"/>
      <c r="S592" s="305"/>
      <c r="T592" s="305"/>
      <c r="U592" s="305"/>
      <c r="V592" s="305"/>
      <c r="W592" s="305"/>
      <c r="X592" s="305"/>
    </row>
    <row r="593" spans="16:24" s="307" customFormat="1" ht="14.25" customHeight="1">
      <c r="P593" s="305"/>
      <c r="Q593" s="305"/>
      <c r="R593" s="305"/>
      <c r="S593" s="305"/>
      <c r="T593" s="305"/>
      <c r="U593" s="305"/>
      <c r="V593" s="305"/>
      <c r="W593" s="305"/>
      <c r="X593" s="305"/>
    </row>
    <row r="594" spans="16:24" s="307" customFormat="1" ht="14.25" customHeight="1">
      <c r="P594" s="305"/>
      <c r="Q594" s="305"/>
      <c r="R594" s="305"/>
      <c r="S594" s="305"/>
      <c r="T594" s="305"/>
      <c r="U594" s="305"/>
      <c r="V594" s="305"/>
      <c r="W594" s="305"/>
      <c r="X594" s="305"/>
    </row>
    <row r="595" spans="16:24" s="307" customFormat="1" ht="14.25" customHeight="1">
      <c r="P595" s="305"/>
      <c r="Q595" s="305"/>
      <c r="R595" s="305"/>
      <c r="S595" s="305"/>
      <c r="T595" s="305"/>
      <c r="U595" s="305"/>
      <c r="V595" s="305"/>
      <c r="W595" s="305"/>
      <c r="X595" s="305"/>
    </row>
    <row r="596" spans="16:24" s="307" customFormat="1" ht="14.25" customHeight="1">
      <c r="P596" s="305"/>
      <c r="Q596" s="305"/>
      <c r="R596" s="305"/>
      <c r="S596" s="305"/>
      <c r="T596" s="305"/>
      <c r="U596" s="305"/>
      <c r="V596" s="305"/>
      <c r="W596" s="305"/>
      <c r="X596" s="305"/>
    </row>
    <row r="597" spans="16:24" s="307" customFormat="1" ht="14.25" customHeight="1">
      <c r="P597" s="305"/>
      <c r="Q597" s="305"/>
      <c r="R597" s="305"/>
      <c r="S597" s="305"/>
      <c r="T597" s="305"/>
      <c r="U597" s="305"/>
      <c r="V597" s="305"/>
      <c r="W597" s="305"/>
      <c r="X597" s="305"/>
    </row>
    <row r="598" spans="16:24" s="307" customFormat="1" ht="14.25" customHeight="1">
      <c r="P598" s="305"/>
      <c r="Q598" s="305"/>
      <c r="R598" s="305"/>
      <c r="S598" s="305"/>
      <c r="T598" s="305"/>
      <c r="U598" s="305"/>
      <c r="V598" s="305"/>
      <c r="W598" s="305"/>
      <c r="X598" s="305"/>
    </row>
    <row r="599" spans="16:24" s="307" customFormat="1" ht="14.25" customHeight="1">
      <c r="P599" s="305"/>
      <c r="Q599" s="305"/>
      <c r="R599" s="305"/>
      <c r="S599" s="305"/>
      <c r="T599" s="305"/>
      <c r="U599" s="305"/>
      <c r="V599" s="305"/>
      <c r="W599" s="305"/>
      <c r="X599" s="305"/>
    </row>
    <row r="600" spans="16:24" s="307" customFormat="1" ht="14.25" customHeight="1">
      <c r="P600" s="305"/>
      <c r="Q600" s="305"/>
      <c r="R600" s="305"/>
      <c r="S600" s="305"/>
      <c r="T600" s="305"/>
      <c r="U600" s="305"/>
      <c r="V600" s="305"/>
      <c r="W600" s="305"/>
      <c r="X600" s="305"/>
    </row>
    <row r="601" spans="16:24" s="307" customFormat="1" ht="14.25" customHeight="1">
      <c r="P601" s="305"/>
      <c r="Q601" s="305"/>
      <c r="R601" s="305"/>
      <c r="S601" s="305"/>
      <c r="T601" s="305"/>
      <c r="U601" s="305"/>
      <c r="V601" s="305"/>
      <c r="W601" s="305"/>
      <c r="X601" s="305"/>
    </row>
    <row r="602" spans="16:24" s="307" customFormat="1" ht="14.25" customHeight="1">
      <c r="P602" s="305"/>
      <c r="Q602" s="305"/>
      <c r="R602" s="305"/>
      <c r="S602" s="305"/>
      <c r="T602" s="305"/>
      <c r="U602" s="305"/>
      <c r="V602" s="305"/>
      <c r="W602" s="305"/>
      <c r="X602" s="305"/>
    </row>
    <row r="603" spans="16:24" s="307" customFormat="1" ht="14.25" customHeight="1">
      <c r="P603" s="305"/>
      <c r="Q603" s="305"/>
      <c r="R603" s="305"/>
      <c r="S603" s="305"/>
      <c r="T603" s="305"/>
      <c r="U603" s="305"/>
      <c r="V603" s="305"/>
      <c r="W603" s="305"/>
      <c r="X603" s="305"/>
    </row>
    <row r="604" spans="16:24" s="307" customFormat="1" ht="14.25" customHeight="1">
      <c r="P604" s="305"/>
      <c r="Q604" s="305"/>
      <c r="R604" s="305"/>
      <c r="S604" s="305"/>
      <c r="T604" s="305"/>
      <c r="U604" s="305"/>
      <c r="V604" s="305"/>
      <c r="W604" s="305"/>
      <c r="X604" s="305"/>
    </row>
    <row r="605" spans="16:24" s="307" customFormat="1" ht="14.25" customHeight="1">
      <c r="P605" s="305"/>
      <c r="Q605" s="305"/>
      <c r="R605" s="305"/>
      <c r="S605" s="305"/>
      <c r="T605" s="305"/>
      <c r="U605" s="305"/>
      <c r="V605" s="305"/>
      <c r="W605" s="305"/>
      <c r="X605" s="305"/>
    </row>
    <row r="606" spans="16:24" s="307" customFormat="1" ht="14.25" customHeight="1">
      <c r="P606" s="305"/>
      <c r="Q606" s="305"/>
      <c r="R606" s="305"/>
      <c r="S606" s="305"/>
      <c r="T606" s="305"/>
      <c r="U606" s="305"/>
      <c r="V606" s="305"/>
      <c r="W606" s="305"/>
      <c r="X606" s="305"/>
    </row>
    <row r="607" spans="16:24" s="307" customFormat="1" ht="14.25" customHeight="1">
      <c r="P607" s="305"/>
      <c r="Q607" s="305"/>
      <c r="R607" s="305"/>
      <c r="S607" s="305"/>
      <c r="T607" s="305"/>
      <c r="U607" s="305"/>
      <c r="V607" s="305"/>
      <c r="W607" s="305"/>
      <c r="X607" s="305"/>
    </row>
    <row r="608" spans="16:24" s="307" customFormat="1" ht="14.25" customHeight="1">
      <c r="P608" s="305"/>
      <c r="Q608" s="305"/>
      <c r="R608" s="305"/>
      <c r="S608" s="305"/>
      <c r="T608" s="305"/>
      <c r="U608" s="305"/>
      <c r="V608" s="305"/>
      <c r="W608" s="305"/>
      <c r="X608" s="305"/>
    </row>
    <row r="609" spans="16:24" s="307" customFormat="1" ht="14.25" customHeight="1">
      <c r="P609" s="305"/>
      <c r="Q609" s="305"/>
      <c r="R609" s="305"/>
      <c r="S609" s="305"/>
      <c r="T609" s="305"/>
      <c r="U609" s="305"/>
      <c r="V609" s="305"/>
      <c r="W609" s="305"/>
      <c r="X609" s="305"/>
    </row>
    <row r="610" spans="16:24" s="307" customFormat="1" ht="14.25" customHeight="1">
      <c r="P610" s="305"/>
      <c r="Q610" s="305"/>
      <c r="R610" s="305"/>
      <c r="S610" s="305"/>
      <c r="T610" s="305"/>
      <c r="U610" s="305"/>
      <c r="V610" s="305"/>
      <c r="W610" s="305"/>
      <c r="X610" s="305"/>
    </row>
    <row r="611" spans="16:24" s="307" customFormat="1" ht="12.75">
      <c r="P611" s="305"/>
      <c r="Q611" s="305"/>
      <c r="R611" s="305"/>
      <c r="S611" s="305"/>
      <c r="T611" s="305"/>
      <c r="U611" s="305"/>
      <c r="V611" s="305"/>
      <c r="W611" s="305"/>
      <c r="X611" s="305"/>
    </row>
    <row r="612" spans="16:24" s="307" customFormat="1" ht="12.75">
      <c r="P612" s="305"/>
      <c r="Q612" s="305"/>
      <c r="R612" s="305"/>
      <c r="S612" s="305"/>
      <c r="T612" s="305"/>
      <c r="U612" s="305"/>
      <c r="V612" s="305"/>
      <c r="W612" s="305"/>
      <c r="X612" s="305"/>
    </row>
    <row r="613" spans="16:24" s="307" customFormat="1" ht="12.75">
      <c r="P613" s="305"/>
      <c r="Q613" s="305"/>
      <c r="R613" s="305"/>
      <c r="S613" s="305"/>
      <c r="T613" s="305"/>
      <c r="U613" s="305"/>
      <c r="V613" s="305"/>
      <c r="W613" s="305"/>
      <c r="X613" s="305"/>
    </row>
    <row r="614" spans="16:24" s="307" customFormat="1" ht="12.75">
      <c r="P614" s="305"/>
      <c r="Q614" s="305"/>
      <c r="R614" s="305"/>
      <c r="S614" s="305"/>
      <c r="T614" s="305"/>
      <c r="U614" s="305"/>
      <c r="V614" s="305"/>
      <c r="W614" s="305"/>
      <c r="X614" s="305"/>
    </row>
    <row r="615" spans="16:24" s="307" customFormat="1" ht="12.75">
      <c r="P615" s="305"/>
      <c r="Q615" s="305"/>
      <c r="R615" s="305"/>
      <c r="S615" s="305"/>
      <c r="T615" s="305"/>
      <c r="U615" s="305"/>
      <c r="V615" s="305"/>
      <c r="W615" s="305"/>
      <c r="X615" s="305"/>
    </row>
    <row r="616" spans="16:24" s="307" customFormat="1" ht="12.75">
      <c r="P616" s="305"/>
      <c r="Q616" s="305"/>
      <c r="R616" s="305"/>
      <c r="S616" s="305"/>
      <c r="T616" s="305"/>
      <c r="U616" s="305"/>
      <c r="V616" s="305"/>
      <c r="W616" s="305"/>
      <c r="X616" s="305"/>
    </row>
    <row r="617" spans="16:24" s="307" customFormat="1" ht="12.75">
      <c r="P617" s="305"/>
      <c r="Q617" s="305"/>
      <c r="R617" s="305"/>
      <c r="S617" s="305"/>
      <c r="T617" s="305"/>
      <c r="U617" s="305"/>
      <c r="V617" s="305"/>
      <c r="W617" s="305"/>
      <c r="X617" s="305"/>
    </row>
    <row r="618" spans="16:24" s="307" customFormat="1" ht="12.75">
      <c r="P618" s="305"/>
      <c r="Q618" s="305"/>
      <c r="R618" s="305"/>
      <c r="S618" s="305"/>
      <c r="T618" s="305"/>
      <c r="U618" s="305"/>
      <c r="V618" s="305"/>
      <c r="W618" s="305"/>
      <c r="X618" s="305"/>
    </row>
    <row r="619" spans="16:24" s="307" customFormat="1" ht="12.75">
      <c r="P619" s="305"/>
      <c r="Q619" s="305"/>
      <c r="R619" s="305"/>
      <c r="S619" s="305"/>
      <c r="T619" s="305"/>
      <c r="U619" s="305"/>
      <c r="V619" s="305"/>
      <c r="W619" s="305"/>
      <c r="X619" s="305"/>
    </row>
    <row r="620" spans="16:24" s="307" customFormat="1" ht="12.75">
      <c r="P620" s="305"/>
      <c r="Q620" s="305"/>
      <c r="R620" s="305"/>
      <c r="S620" s="305"/>
      <c r="T620" s="305"/>
      <c r="U620" s="305"/>
      <c r="V620" s="305"/>
      <c r="W620" s="305"/>
      <c r="X620" s="305"/>
    </row>
    <row r="621" spans="16:24" s="307" customFormat="1" ht="12.75">
      <c r="P621" s="305"/>
      <c r="Q621" s="305"/>
      <c r="R621" s="305"/>
      <c r="S621" s="305"/>
      <c r="T621" s="305"/>
      <c r="U621" s="305"/>
      <c r="V621" s="305"/>
      <c r="W621" s="305"/>
      <c r="X621" s="305"/>
    </row>
    <row r="622" spans="16:24" s="307" customFormat="1" ht="12.75">
      <c r="P622" s="305"/>
      <c r="Q622" s="305"/>
      <c r="R622" s="305"/>
      <c r="S622" s="305"/>
      <c r="T622" s="305"/>
      <c r="U622" s="305"/>
      <c r="V622" s="305"/>
      <c r="W622" s="305"/>
      <c r="X622" s="305"/>
    </row>
    <row r="623" spans="1:24" s="306" customFormat="1" ht="12.75">
      <c r="A623" s="307"/>
      <c r="P623" s="305"/>
      <c r="Q623" s="305"/>
      <c r="R623" s="305"/>
      <c r="S623" s="305"/>
      <c r="T623" s="305"/>
      <c r="U623" s="305"/>
      <c r="V623" s="305"/>
      <c r="W623" s="305"/>
      <c r="X623" s="305"/>
    </row>
    <row r="624" ht="12.75">
      <c r="A624" s="307"/>
    </row>
    <row r="625" ht="12.75">
      <c r="A625" s="307"/>
    </row>
    <row r="626" ht="12.75">
      <c r="A626" s="307"/>
    </row>
    <row r="627" ht="12.75">
      <c r="A627" s="307"/>
    </row>
    <row r="628" ht="12.75">
      <c r="A628" s="307"/>
    </row>
    <row r="629" ht="12.75">
      <c r="A629" s="307"/>
    </row>
    <row r="630" ht="12.75">
      <c r="A630" s="306"/>
    </row>
  </sheetData>
  <sheetProtection algorithmName="SHA-512" hashValue="K/caoRWtcahN9ck6FtG34OkoKEK5EAeNwjyIOcolDV1DFA7lqg2LYQ/Z6J+CXyoqnnAlO/sEhF0fXFLkjlbdfA==" saltValue="zZjJ/a85tYENzSH98f7TJw==" spinCount="100000" sheet="1" objects="1" scenarios="1"/>
  <mergeCells count="17">
    <mergeCell ref="H6:L6"/>
    <mergeCell ref="R6:U6"/>
    <mergeCell ref="N8:Q8"/>
    <mergeCell ref="S8:X8"/>
    <mergeCell ref="G11:L12"/>
    <mergeCell ref="W1:Y2"/>
    <mergeCell ref="D1:K1"/>
    <mergeCell ref="R1:S2"/>
    <mergeCell ref="D2:L2"/>
    <mergeCell ref="B5:D5"/>
    <mergeCell ref="H5:L5"/>
    <mergeCell ref="Q5:U5"/>
    <mergeCell ref="B9:E9"/>
    <mergeCell ref="G9:L9"/>
    <mergeCell ref="N9:Q9"/>
    <mergeCell ref="S9:X9"/>
    <mergeCell ref="C6:D6"/>
  </mergeCells>
  <conditionalFormatting sqref="B17:B417">
    <cfRule type="expression" priority="30" dxfId="4">
      <formula>$C17="Solar Tracker"</formula>
    </cfRule>
    <cfRule type="expression" priority="38" dxfId="4">
      <formula>$C17="Compliance Professional"</formula>
    </cfRule>
    <cfRule type="expression" priority="37" dxfId="4">
      <formula>$C17="IAP Essential/Professional"</formula>
    </cfRule>
    <cfRule type="expression" priority="36" dxfId="4">
      <formula>$C17="Onboard Mass IAP"</formula>
    </cfRule>
    <cfRule type="expression" priority="5" dxfId="4">
      <formula>C17="Tracking Professional (VT101)"</formula>
    </cfRule>
    <cfRule type="expression" priority="6" dxfId="4">
      <formula>C17="#6 IAP Only"</formula>
    </cfRule>
    <cfRule type="expression" priority="7" dxfId="4">
      <formula>C17="#5 IAP Professional"</formula>
    </cfRule>
    <cfRule type="expression" priority="8" dxfId="4">
      <formula>C17="#4 IAP Essential"</formula>
    </cfRule>
    <cfRule type="expression" priority="9" dxfId="4">
      <formula>C17="#3 IAP Essential"</formula>
    </cfRule>
    <cfRule type="expression" priority="10" dxfId="4">
      <formula>C17="#2 IAP Professional"</formula>
    </cfRule>
    <cfRule type="expression" priority="11" dxfId="4">
      <formula>C17="#1 IAP Essential"</formula>
    </cfRule>
    <cfRule type="expression" priority="12" dxfId="4">
      <formula>C17="ATS2"</formula>
    </cfRule>
    <cfRule type="expression" priority="35" dxfId="4">
      <formula>$C17="Onboard Mass non IAP"</formula>
    </cfRule>
    <cfRule type="expression" priority="34" dxfId="4">
      <formula>$C17="HPV/RIM"</formula>
    </cfRule>
    <cfRule type="expression" priority="33" dxfId="4">
      <formula>$C17="iFace/MT201 Applications"</formula>
    </cfRule>
    <cfRule type="expression" priority="32" dxfId="4">
      <formula>$C17="Tracking Professional"</formula>
    </cfRule>
    <cfRule type="expression" priority="31" dxfId="4">
      <formula>$C17="ATS"</formula>
    </cfRule>
    <cfRule type="expression" priority="39" dxfId="4">
      <formula>$C17="Compliance Essential"</formula>
    </cfRule>
  </conditionalFormatting>
  <conditionalFormatting sqref="E15:E417 B17:B417">
    <cfRule type="expression" priority="27" dxfId="4">
      <formula>C15="Solar Tracker"</formula>
    </cfRule>
    <cfRule type="expression" priority="28" dxfId="4">
      <formula>C15="ATS1"</formula>
    </cfRule>
    <cfRule type="expression" priority="54" dxfId="4">
      <formula>C15="Compliance Essential"</formula>
    </cfRule>
    <cfRule type="expression" priority="49" dxfId="4">
      <formula>C15="iFace/MT201 Applications"</formula>
    </cfRule>
    <cfRule type="expression" priority="50" dxfId="4">
      <formula>C15="HPV/RIM"</formula>
    </cfRule>
    <cfRule type="expression" priority="51" dxfId="4">
      <formula>C15="Onboard Mass non IAP"</formula>
    </cfRule>
    <cfRule type="expression" priority="52" dxfId="4">
      <formula>C15="Onboard Mass IAP"</formula>
    </cfRule>
    <cfRule type="expression" priority="53" dxfId="4">
      <formula>C15="Compliance Professional"</formula>
    </cfRule>
  </conditionalFormatting>
  <conditionalFormatting sqref="G15:G417">
    <cfRule type="expression" priority="4" dxfId="4">
      <formula>$C15="Compliance Professional"</formula>
    </cfRule>
    <cfRule type="expression" priority="3" dxfId="4">
      <formula>$C15="IAP Essential/Professional"</formula>
    </cfRule>
    <cfRule type="expression" priority="2" dxfId="4">
      <formula>$C15="HPV/RIM"</formula>
    </cfRule>
  </conditionalFormatting>
  <conditionalFormatting sqref="G16:G417">
    <cfRule type="expression" priority="13" dxfId="4">
      <formula>C16="#5 IAP Professional"</formula>
    </cfRule>
    <cfRule type="expression" priority="17" dxfId="4">
      <formula>C16="#1 IAP Essential"</formula>
    </cfRule>
    <cfRule type="expression" priority="16" dxfId="4">
      <formula>C16="#2 IAP Professional"</formula>
    </cfRule>
    <cfRule type="expression" priority="15" dxfId="4">
      <formula>C16="#3 IAP Essential"</formula>
    </cfRule>
    <cfRule type="expression" priority="14" dxfId="4">
      <formula>C16="#4 IAP Essential"</formula>
    </cfRule>
  </conditionalFormatting>
  <conditionalFormatting sqref="N15:N417">
    <cfRule type="expression" priority="29" dxfId="4">
      <formula>C15="Tracking Professional (VT101)"</formula>
    </cfRule>
    <cfRule type="expression" priority="24" dxfId="4">
      <formula>C15="Compliance Professional"</formula>
    </cfRule>
  </conditionalFormatting>
  <conditionalFormatting sqref="O15:O417">
    <cfRule type="expression" priority="23" dxfId="4">
      <formula>$C15="Compliance Professional"</formula>
    </cfRule>
    <cfRule type="expression" priority="25" dxfId="4">
      <formula>$C15="Tracking Professional"</formula>
    </cfRule>
  </conditionalFormatting>
  <conditionalFormatting sqref="Z15:Z412">
    <cfRule type="expression" priority="1" dxfId="3">
      <formula>Y15="Yes"</formula>
    </cfRule>
  </conditionalFormatting>
  <dataValidations count="7">
    <dataValidation type="list" allowBlank="1" showInputMessage="1" showErrorMessage="1" sqref="C15:C417">
      <formula1>$A$15:$A$38</formula1>
    </dataValidation>
    <dataValidation type="list" allowBlank="1" showInputMessage="1" showErrorMessage="1" sqref="E15:E417">
      <formula1>$A$46:$A$54</formula1>
    </dataValidation>
    <dataValidation type="list" allowBlank="1" showInputMessage="1" showErrorMessage="1" sqref="P15:P417">
      <formula1>$A$64:$A$68</formula1>
    </dataValidation>
    <dataValidation type="list" allowBlank="1" showInputMessage="1" showErrorMessage="1" sqref="O15:O417">
      <formula1>$A$56:$A$62</formula1>
    </dataValidation>
    <dataValidation type="list" allowBlank="1" showInputMessage="1" showErrorMessage="1" sqref="N15:N417">
      <formula1>$A$70:$A$71</formula1>
    </dataValidation>
    <dataValidation type="list" allowBlank="1" showInputMessage="1" showErrorMessage="1" sqref="S15:Y417">
      <formula1>$A$69:$A$71</formula1>
    </dataValidation>
    <dataValidation type="list" allowBlank="1" showInputMessage="1" showErrorMessage="1" sqref="K15:L15">
      <formula1>'Onboarding Fleet'!$D$12:$D$33</formula1>
    </dataValidation>
  </dataValidations>
  <pageMargins left="0.7" right="0.7" top="0.75" bottom="0.75" header="0.3" footer="0.3"/>
  <pageSetup orientation="portrait" r:id="rId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F16C9-BECD-472A-9172-C2AFA470A387}">
  <dimension ref="A1:N161"/>
  <sheetViews>
    <sheetView showGridLines="0" workbookViewId="0" topLeftCell="A1">
      <pane ySplit="11" topLeftCell="A12" activePane="bottomLeft" state="frozen"/>
      <selection pane="topLeft" activeCell="H20" sqref="H20"/>
      <selection pane="bottomLeft" activeCell="R4" sqref="R4"/>
    </sheetView>
  </sheetViews>
  <sheetFormatPr defaultRowHeight="12.75"/>
  <cols>
    <col min="1" max="1" width="22.1428571428571" style="305" customWidth="1"/>
    <col min="2" max="2" width="17" style="305" customWidth="1"/>
    <col min="3" max="3" width="18.1428571428571" style="305" customWidth="1"/>
    <col min="4" max="4" width="15" style="305" customWidth="1"/>
    <col min="5" max="5" width="18.8571428571429" style="305" customWidth="1"/>
    <col min="6" max="6" width="21.7142857142857" style="305" customWidth="1"/>
    <col min="7" max="7" width="17.8571428571429" style="305" customWidth="1"/>
    <col min="8" max="8" width="13.4285714285714" style="305" customWidth="1"/>
    <col min="9" max="16384" width="9.14285714285714" style="305"/>
  </cols>
  <sheetData>
    <row r="1" spans="1:14" ht="42" customHeight="1">
      <c r="A1" s="332"/>
      <c r="B1" s="248"/>
      <c r="C1" s="248"/>
      <c r="D1" s="248"/>
      <c r="E1" s="248"/>
      <c r="F1" s="650" t="s">
        <v>468</v>
      </c>
      <c r="G1" s="650"/>
      <c r="H1" s="650"/>
      <c r="I1" s="248"/>
      <c r="J1" s="646"/>
      <c r="K1" s="646"/>
      <c r="L1" s="646"/>
      <c r="M1" s="646"/>
      <c r="N1" s="646"/>
    </row>
    <row r="2" spans="1:14" ht="42" customHeight="1">
      <c r="A2" s="248"/>
      <c r="B2" s="248"/>
      <c r="C2" s="248"/>
      <c r="D2" s="248"/>
      <c r="E2" s="248"/>
      <c r="F2" s="650"/>
      <c r="G2" s="650"/>
      <c r="H2" s="650"/>
      <c r="I2" s="248"/>
      <c r="J2" s="646"/>
      <c r="K2" s="646"/>
      <c r="L2" s="646"/>
      <c r="M2" s="646"/>
      <c r="N2" s="646"/>
    </row>
    <row r="3" spans="1:14" ht="11.25" customHeight="1">
      <c r="A3" s="248"/>
      <c r="B3" s="248"/>
      <c r="C3" s="248"/>
      <c r="D3" s="248"/>
      <c r="E3" s="248"/>
      <c r="F3" s="512"/>
      <c r="G3" s="512"/>
      <c r="H3" s="512"/>
      <c r="I3" s="248"/>
      <c r="J3" s="646"/>
      <c r="K3" s="646"/>
      <c r="L3" s="646"/>
      <c r="M3" s="646"/>
      <c r="N3" s="646"/>
    </row>
    <row r="4" spans="1:14" ht="21">
      <c r="A4" s="647" t="s">
        <v>184</v>
      </c>
      <c r="B4" s="648"/>
      <c r="C4" s="648"/>
      <c r="D4" s="648"/>
      <c r="E4" s="648"/>
      <c r="F4" s="648"/>
      <c r="G4" s="648"/>
      <c r="H4" s="648"/>
      <c r="I4" s="42"/>
      <c r="J4" s="42"/>
      <c r="K4" s="42"/>
      <c r="L4" s="42"/>
      <c r="M4" s="42"/>
      <c r="N4" s="42"/>
    </row>
    <row r="5" spans="1:14" ht="2.25" customHeight="1">
      <c r="A5" s="649"/>
      <c r="B5" s="649"/>
      <c r="C5" s="649"/>
      <c r="D5" s="649"/>
      <c r="E5" s="649"/>
      <c r="F5" s="649"/>
      <c r="G5" s="649"/>
      <c r="H5" s="649"/>
      <c r="I5" s="42"/>
      <c r="J5" s="42"/>
      <c r="K5" s="42"/>
      <c r="L5" s="42"/>
      <c r="M5" s="42"/>
      <c r="N5" s="42"/>
    </row>
    <row r="6" spans="1:14" ht="15">
      <c r="A6" s="651"/>
      <c r="B6" s="651"/>
      <c r="C6" s="390"/>
      <c r="D6" s="390"/>
      <c r="E6" s="390"/>
      <c r="F6" s="390"/>
      <c r="G6" s="390"/>
      <c r="H6" s="390"/>
      <c r="I6" s="391"/>
      <c r="J6" s="390"/>
      <c r="K6" s="390"/>
      <c r="L6" s="390"/>
      <c r="M6" s="390"/>
      <c r="N6" s="390"/>
    </row>
    <row r="7" spans="1:14" ht="28.5" customHeight="1">
      <c r="A7" s="392" t="s">
        <v>431</v>
      </c>
      <c r="B7" s="642" t="s">
        <v>466</v>
      </c>
      <c r="C7" s="643"/>
      <c r="D7" s="644"/>
      <c r="E7" s="393" t="s">
        <v>430</v>
      </c>
      <c r="F7" s="642" t="s">
        <v>251</v>
      </c>
      <c r="G7" s="643"/>
      <c r="H7" s="644"/>
      <c r="I7" s="394"/>
      <c r="J7" s="395"/>
      <c r="K7" s="390"/>
      <c r="L7" s="390"/>
      <c r="M7" s="390"/>
      <c r="N7" s="390"/>
    </row>
    <row r="8" spans="1:14" ht="7.5" customHeight="1">
      <c r="A8" s="332"/>
      <c r="B8" s="393"/>
      <c r="C8" s="392"/>
      <c r="D8" s="396"/>
      <c r="E8" s="392"/>
      <c r="F8" s="392"/>
      <c r="G8" s="392"/>
      <c r="H8" s="392"/>
      <c r="I8" s="390"/>
      <c r="J8" s="391"/>
      <c r="K8" s="390"/>
      <c r="L8" s="390"/>
      <c r="M8" s="390"/>
      <c r="N8" s="390"/>
    </row>
    <row r="9" spans="1:14" ht="13.5" customHeight="1">
      <c r="A9" s="347" t="s">
        <v>48</v>
      </c>
      <c r="B9" s="393"/>
      <c r="C9" s="392"/>
      <c r="D9" s="396"/>
      <c r="E9" s="392"/>
      <c r="F9" s="392"/>
      <c r="G9" s="392"/>
      <c r="H9" s="392"/>
      <c r="I9" s="390"/>
      <c r="J9" s="391"/>
      <c r="K9" s="390"/>
      <c r="L9" s="390"/>
      <c r="M9" s="390"/>
      <c r="N9" s="390"/>
    </row>
    <row r="10" spans="1:14" ht="7.5" customHeight="1">
      <c r="A10" s="346"/>
      <c r="B10" s="397"/>
      <c r="C10" s="397"/>
      <c r="D10" s="397"/>
      <c r="E10" s="397"/>
      <c r="F10" s="397"/>
      <c r="G10" s="397"/>
      <c r="H10" s="397"/>
      <c r="I10" s="391"/>
      <c r="J10" s="390"/>
      <c r="K10" s="390"/>
      <c r="L10" s="390"/>
      <c r="M10" s="390"/>
      <c r="N10" s="390"/>
    </row>
    <row r="11" spans="1:14" ht="38.25">
      <c r="A11" s="398" t="s">
        <v>185</v>
      </c>
      <c r="B11" s="399" t="s">
        <v>186</v>
      </c>
      <c r="C11" s="399" t="s">
        <v>187</v>
      </c>
      <c r="D11" s="399" t="s">
        <v>188</v>
      </c>
      <c r="E11" s="399" t="s">
        <v>189</v>
      </c>
      <c r="F11" s="399" t="s">
        <v>190</v>
      </c>
      <c r="G11" s="399" t="s">
        <v>429</v>
      </c>
      <c r="H11" s="400" t="s">
        <v>222</v>
      </c>
      <c r="I11" s="401"/>
      <c r="J11" s="402"/>
      <c r="K11" s="402"/>
      <c r="L11" s="402"/>
      <c r="M11" s="402"/>
      <c r="N11" s="402"/>
    </row>
    <row r="12" spans="1:14" ht="12.75">
      <c r="A12" s="344"/>
      <c r="B12" s="343"/>
      <c r="C12" s="343"/>
      <c r="D12" s="343"/>
      <c r="E12" s="343"/>
      <c r="F12" s="343"/>
      <c r="G12" s="342"/>
      <c r="H12" s="345"/>
      <c r="I12" s="340"/>
      <c r="J12" s="339"/>
      <c r="K12" s="338"/>
      <c r="L12" s="338"/>
      <c r="M12" s="338"/>
      <c r="N12" s="338"/>
    </row>
    <row r="13" spans="1:14" ht="12.75">
      <c r="A13" s="344"/>
      <c r="B13" s="343"/>
      <c r="C13" s="343"/>
      <c r="D13" s="343"/>
      <c r="E13" s="343"/>
      <c r="F13" s="343"/>
      <c r="G13" s="342"/>
      <c r="H13" s="341"/>
      <c r="I13" s="340"/>
      <c r="J13" s="339"/>
      <c r="K13" s="338"/>
      <c r="L13" s="338"/>
      <c r="M13" s="338"/>
      <c r="N13" s="338"/>
    </row>
    <row r="14" spans="1:14" ht="12.75">
      <c r="A14" s="344"/>
      <c r="B14" s="343"/>
      <c r="C14" s="343"/>
      <c r="D14" s="343"/>
      <c r="E14" s="343"/>
      <c r="F14" s="343"/>
      <c r="G14" s="342"/>
      <c r="H14" s="341"/>
      <c r="I14" s="340"/>
      <c r="J14" s="339"/>
      <c r="K14" s="338"/>
      <c r="L14" s="338"/>
      <c r="M14" s="338"/>
      <c r="N14" s="338"/>
    </row>
    <row r="15" spans="1:14" ht="12.75">
      <c r="A15" s="344"/>
      <c r="B15" s="343"/>
      <c r="C15" s="343"/>
      <c r="D15" s="343"/>
      <c r="E15" s="343"/>
      <c r="F15" s="343"/>
      <c r="G15" s="342"/>
      <c r="H15" s="341"/>
      <c r="I15" s="340"/>
      <c r="J15" s="339"/>
      <c r="K15" s="338"/>
      <c r="L15" s="338"/>
      <c r="M15" s="338"/>
      <c r="N15" s="338"/>
    </row>
    <row r="16" spans="1:14" ht="12.75">
      <c r="A16" s="344"/>
      <c r="B16" s="343"/>
      <c r="C16" s="343"/>
      <c r="D16" s="343"/>
      <c r="E16" s="343"/>
      <c r="F16" s="343"/>
      <c r="G16" s="342"/>
      <c r="H16" s="341"/>
      <c r="I16" s="340"/>
      <c r="J16" s="339"/>
      <c r="K16" s="338"/>
      <c r="L16" s="338"/>
      <c r="M16" s="338"/>
      <c r="N16" s="338"/>
    </row>
    <row r="17" spans="1:14" ht="12.75">
      <c r="A17" s="344"/>
      <c r="B17" s="343"/>
      <c r="C17" s="343"/>
      <c r="D17" s="343"/>
      <c r="E17" s="343"/>
      <c r="F17" s="343"/>
      <c r="G17" s="342"/>
      <c r="H17" s="341"/>
      <c r="I17" s="340"/>
      <c r="J17" s="339"/>
      <c r="K17" s="338"/>
      <c r="L17" s="338"/>
      <c r="M17" s="338"/>
      <c r="N17" s="338"/>
    </row>
    <row r="18" spans="1:14" ht="12.75">
      <c r="A18" s="344"/>
      <c r="B18" s="343"/>
      <c r="C18" s="343"/>
      <c r="D18" s="343"/>
      <c r="E18" s="343"/>
      <c r="F18" s="343"/>
      <c r="G18" s="342"/>
      <c r="H18" s="341"/>
      <c r="I18" s="340"/>
      <c r="J18" s="339"/>
      <c r="K18" s="338"/>
      <c r="L18" s="338"/>
      <c r="M18" s="338"/>
      <c r="N18" s="338"/>
    </row>
    <row r="19" spans="1:14" ht="12.75">
      <c r="A19" s="344"/>
      <c r="B19" s="343"/>
      <c r="C19" s="343"/>
      <c r="D19" s="343"/>
      <c r="E19" s="343"/>
      <c r="F19" s="343"/>
      <c r="G19" s="342"/>
      <c r="H19" s="341"/>
      <c r="I19" s="340"/>
      <c r="J19" s="339"/>
      <c r="K19" s="338"/>
      <c r="L19" s="338"/>
      <c r="M19" s="338"/>
      <c r="N19" s="338"/>
    </row>
    <row r="20" spans="1:14" ht="12.75">
      <c r="A20" s="344"/>
      <c r="B20" s="343"/>
      <c r="C20" s="343"/>
      <c r="D20" s="343"/>
      <c r="E20" s="343"/>
      <c r="F20" s="343"/>
      <c r="G20" s="342"/>
      <c r="H20" s="341"/>
      <c r="I20" s="340"/>
      <c r="J20" s="339"/>
      <c r="K20" s="338"/>
      <c r="L20" s="338"/>
      <c r="M20" s="338"/>
      <c r="N20" s="338"/>
    </row>
    <row r="21" spans="1:14" ht="12.75">
      <c r="A21" s="344"/>
      <c r="B21" s="343"/>
      <c r="C21" s="343"/>
      <c r="D21" s="343"/>
      <c r="E21" s="343"/>
      <c r="F21" s="343"/>
      <c r="G21" s="342"/>
      <c r="H21" s="341"/>
      <c r="I21" s="340"/>
      <c r="J21" s="339"/>
      <c r="K21" s="338"/>
      <c r="L21" s="338"/>
      <c r="M21" s="338"/>
      <c r="N21" s="338"/>
    </row>
    <row r="22" spans="1:14" ht="12.75">
      <c r="A22" s="344"/>
      <c r="B22" s="343"/>
      <c r="C22" s="343"/>
      <c r="D22" s="343"/>
      <c r="E22" s="343"/>
      <c r="F22" s="343"/>
      <c r="G22" s="342"/>
      <c r="H22" s="341"/>
      <c r="I22" s="340"/>
      <c r="J22" s="339"/>
      <c r="K22" s="338"/>
      <c r="L22" s="338"/>
      <c r="M22" s="338"/>
      <c r="N22" s="338"/>
    </row>
    <row r="23" spans="1:14" ht="12.75">
      <c r="A23" s="344"/>
      <c r="B23" s="343"/>
      <c r="C23" s="343"/>
      <c r="D23" s="343"/>
      <c r="E23" s="343"/>
      <c r="F23" s="343"/>
      <c r="G23" s="342"/>
      <c r="H23" s="341"/>
      <c r="I23" s="340"/>
      <c r="J23" s="339"/>
      <c r="K23" s="338"/>
      <c r="L23" s="338"/>
      <c r="M23" s="338"/>
      <c r="N23" s="338"/>
    </row>
    <row r="24" spans="1:14" ht="12.75">
      <c r="A24" s="344"/>
      <c r="B24" s="343"/>
      <c r="C24" s="343"/>
      <c r="D24" s="343"/>
      <c r="E24" s="343"/>
      <c r="F24" s="343"/>
      <c r="G24" s="342"/>
      <c r="H24" s="341"/>
      <c r="I24" s="340"/>
      <c r="J24" s="339"/>
      <c r="K24" s="338"/>
      <c r="L24" s="338"/>
      <c r="M24" s="338"/>
      <c r="N24" s="338"/>
    </row>
    <row r="25" spans="1:14" ht="12.75">
      <c r="A25" s="344"/>
      <c r="B25" s="343"/>
      <c r="C25" s="343"/>
      <c r="D25" s="343"/>
      <c r="E25" s="343"/>
      <c r="F25" s="343"/>
      <c r="G25" s="342"/>
      <c r="H25" s="341"/>
      <c r="I25" s="340"/>
      <c r="J25" s="339"/>
      <c r="K25" s="338"/>
      <c r="L25" s="338"/>
      <c r="M25" s="338"/>
      <c r="N25" s="338"/>
    </row>
    <row r="26" spans="1:14" ht="12.75">
      <c r="A26" s="344"/>
      <c r="B26" s="343"/>
      <c r="C26" s="343"/>
      <c r="D26" s="343"/>
      <c r="E26" s="343"/>
      <c r="F26" s="343"/>
      <c r="G26" s="342"/>
      <c r="H26" s="341"/>
      <c r="I26" s="340"/>
      <c r="J26" s="339"/>
      <c r="K26" s="338"/>
      <c r="L26" s="338"/>
      <c r="M26" s="338"/>
      <c r="N26" s="338"/>
    </row>
    <row r="27" spans="1:14" ht="12.75">
      <c r="A27" s="344"/>
      <c r="B27" s="343"/>
      <c r="C27" s="343"/>
      <c r="D27" s="343"/>
      <c r="E27" s="343"/>
      <c r="F27" s="343"/>
      <c r="G27" s="342"/>
      <c r="H27" s="341"/>
      <c r="I27" s="340"/>
      <c r="J27" s="339"/>
      <c r="K27" s="338"/>
      <c r="L27" s="338"/>
      <c r="M27" s="338"/>
      <c r="N27" s="338"/>
    </row>
    <row r="28" spans="1:14" ht="12.75">
      <c r="A28" s="344"/>
      <c r="B28" s="343"/>
      <c r="C28" s="343"/>
      <c r="D28" s="343"/>
      <c r="E28" s="343"/>
      <c r="F28" s="343"/>
      <c r="G28" s="342"/>
      <c r="H28" s="341"/>
      <c r="I28" s="340"/>
      <c r="J28" s="339"/>
      <c r="K28" s="338"/>
      <c r="L28" s="338"/>
      <c r="M28" s="338"/>
      <c r="N28" s="338"/>
    </row>
    <row r="29" spans="1:14" ht="12.75">
      <c r="A29" s="344"/>
      <c r="B29" s="343"/>
      <c r="C29" s="343"/>
      <c r="D29" s="343"/>
      <c r="E29" s="343"/>
      <c r="F29" s="343"/>
      <c r="G29" s="342"/>
      <c r="H29" s="341"/>
      <c r="I29" s="340"/>
      <c r="J29" s="339"/>
      <c r="K29" s="338"/>
      <c r="L29" s="338"/>
      <c r="M29" s="338"/>
      <c r="N29" s="338"/>
    </row>
    <row r="30" spans="1:14" ht="12.75">
      <c r="A30" s="344"/>
      <c r="B30" s="343"/>
      <c r="C30" s="343"/>
      <c r="D30" s="343"/>
      <c r="E30" s="343"/>
      <c r="F30" s="343"/>
      <c r="G30" s="342"/>
      <c r="H30" s="341"/>
      <c r="I30" s="340"/>
      <c r="J30" s="339"/>
      <c r="K30" s="338"/>
      <c r="L30" s="338"/>
      <c r="M30" s="338"/>
      <c r="N30" s="338"/>
    </row>
    <row r="31" spans="1:14" ht="12.75">
      <c r="A31" s="344"/>
      <c r="B31" s="343"/>
      <c r="C31" s="343"/>
      <c r="D31" s="343"/>
      <c r="E31" s="343"/>
      <c r="F31" s="343"/>
      <c r="G31" s="342"/>
      <c r="H31" s="341"/>
      <c r="I31" s="340"/>
      <c r="J31" s="339"/>
      <c r="K31" s="338"/>
      <c r="L31" s="338"/>
      <c r="M31" s="338"/>
      <c r="N31" s="338"/>
    </row>
    <row r="32" spans="1:14" ht="12.75">
      <c r="A32" s="344"/>
      <c r="B32" s="343"/>
      <c r="C32" s="343"/>
      <c r="D32" s="343"/>
      <c r="E32" s="343"/>
      <c r="F32" s="343"/>
      <c r="G32" s="342"/>
      <c r="H32" s="341"/>
      <c r="I32" s="340"/>
      <c r="J32" s="339"/>
      <c r="K32" s="338"/>
      <c r="L32" s="338"/>
      <c r="M32" s="338"/>
      <c r="N32" s="338"/>
    </row>
    <row r="33" spans="1:14" ht="12.75">
      <c r="A33" s="344"/>
      <c r="B33" s="343"/>
      <c r="C33" s="343"/>
      <c r="D33" s="343"/>
      <c r="E33" s="343"/>
      <c r="F33" s="343"/>
      <c r="G33" s="342"/>
      <c r="H33" s="341"/>
      <c r="I33" s="340"/>
      <c r="J33" s="339"/>
      <c r="K33" s="338"/>
      <c r="L33" s="338"/>
      <c r="M33" s="338"/>
      <c r="N33" s="338"/>
    </row>
    <row r="34" spans="1:14" ht="12.75">
      <c r="A34" s="344"/>
      <c r="B34" s="343"/>
      <c r="C34" s="343"/>
      <c r="D34" s="343"/>
      <c r="E34" s="343"/>
      <c r="F34" s="343"/>
      <c r="G34" s="342"/>
      <c r="H34" s="341"/>
      <c r="I34" s="340"/>
      <c r="J34" s="339"/>
      <c r="K34" s="338"/>
      <c r="L34" s="338"/>
      <c r="M34" s="338"/>
      <c r="N34" s="338"/>
    </row>
    <row r="35" spans="1:14" ht="12.75">
      <c r="A35" s="344"/>
      <c r="B35" s="343"/>
      <c r="C35" s="343"/>
      <c r="D35" s="343"/>
      <c r="E35" s="343"/>
      <c r="F35" s="343"/>
      <c r="G35" s="342"/>
      <c r="H35" s="341"/>
      <c r="I35" s="340"/>
      <c r="J35" s="339"/>
      <c r="K35" s="338"/>
      <c r="L35" s="338"/>
      <c r="M35" s="338"/>
      <c r="N35" s="338"/>
    </row>
    <row r="36" spans="1:14" ht="12.75">
      <c r="A36" s="344"/>
      <c r="B36" s="343"/>
      <c r="C36" s="343"/>
      <c r="D36" s="343"/>
      <c r="E36" s="343"/>
      <c r="F36" s="343"/>
      <c r="G36" s="342"/>
      <c r="H36" s="341"/>
      <c r="I36" s="340"/>
      <c r="J36" s="339"/>
      <c r="K36" s="338"/>
      <c r="L36" s="338"/>
      <c r="M36" s="338"/>
      <c r="N36" s="338"/>
    </row>
    <row r="37" spans="1:14" ht="12.75">
      <c r="A37" s="344"/>
      <c r="B37" s="343"/>
      <c r="C37" s="343"/>
      <c r="D37" s="343"/>
      <c r="E37" s="343"/>
      <c r="F37" s="343"/>
      <c r="G37" s="342"/>
      <c r="H37" s="341"/>
      <c r="I37" s="340"/>
      <c r="J37" s="339"/>
      <c r="K37" s="338"/>
      <c r="L37" s="338"/>
      <c r="M37" s="338"/>
      <c r="N37" s="338"/>
    </row>
    <row r="38" spans="1:14" ht="12.75">
      <c r="A38" s="344"/>
      <c r="B38" s="343"/>
      <c r="C38" s="343"/>
      <c r="D38" s="343"/>
      <c r="E38" s="343"/>
      <c r="F38" s="343"/>
      <c r="G38" s="342"/>
      <c r="H38" s="341"/>
      <c r="I38" s="340"/>
      <c r="J38" s="339"/>
      <c r="K38" s="338"/>
      <c r="L38" s="338"/>
      <c r="M38" s="338"/>
      <c r="N38" s="338"/>
    </row>
    <row r="39" spans="1:14" ht="12.75">
      <c r="A39" s="344"/>
      <c r="B39" s="343"/>
      <c r="C39" s="343"/>
      <c r="D39" s="343"/>
      <c r="E39" s="343"/>
      <c r="F39" s="343"/>
      <c r="G39" s="342"/>
      <c r="H39" s="341"/>
      <c r="I39" s="340"/>
      <c r="J39" s="339"/>
      <c r="K39" s="338"/>
      <c r="L39" s="338"/>
      <c r="M39" s="338"/>
      <c r="N39" s="338"/>
    </row>
    <row r="40" spans="1:14" ht="12.75">
      <c r="A40" s="344"/>
      <c r="B40" s="343"/>
      <c r="C40" s="343"/>
      <c r="D40" s="343"/>
      <c r="E40" s="343"/>
      <c r="F40" s="343"/>
      <c r="G40" s="342"/>
      <c r="H40" s="341"/>
      <c r="I40" s="340"/>
      <c r="J40" s="339"/>
      <c r="K40" s="338"/>
      <c r="L40" s="338"/>
      <c r="M40" s="338"/>
      <c r="N40" s="338"/>
    </row>
    <row r="41" spans="1:14" ht="12.75">
      <c r="A41" s="344"/>
      <c r="B41" s="343"/>
      <c r="C41" s="343"/>
      <c r="D41" s="343"/>
      <c r="E41" s="343"/>
      <c r="F41" s="343"/>
      <c r="G41" s="342"/>
      <c r="H41" s="341"/>
      <c r="I41" s="340"/>
      <c r="J41" s="339"/>
      <c r="K41" s="338"/>
      <c r="L41" s="338"/>
      <c r="M41" s="338"/>
      <c r="N41" s="338"/>
    </row>
    <row r="42" spans="1:14" ht="12.75">
      <c r="A42" s="344"/>
      <c r="B42" s="343"/>
      <c r="C42" s="343"/>
      <c r="D42" s="343"/>
      <c r="E42" s="343"/>
      <c r="F42" s="343"/>
      <c r="G42" s="342"/>
      <c r="H42" s="341"/>
      <c r="I42" s="340"/>
      <c r="J42" s="339"/>
      <c r="K42" s="338"/>
      <c r="L42" s="338"/>
      <c r="M42" s="338"/>
      <c r="N42" s="338"/>
    </row>
    <row r="43" spans="1:14" ht="12.75">
      <c r="A43" s="344"/>
      <c r="B43" s="343"/>
      <c r="C43" s="343"/>
      <c r="D43" s="343"/>
      <c r="E43" s="343"/>
      <c r="F43" s="343"/>
      <c r="G43" s="342"/>
      <c r="H43" s="341"/>
      <c r="I43" s="340"/>
      <c r="J43" s="339"/>
      <c r="K43" s="338"/>
      <c r="L43" s="338"/>
      <c r="M43" s="338"/>
      <c r="N43" s="338"/>
    </row>
    <row r="44" spans="1:14" ht="12.75">
      <c r="A44" s="344"/>
      <c r="B44" s="343"/>
      <c r="C44" s="343"/>
      <c r="D44" s="343"/>
      <c r="E44" s="343"/>
      <c r="F44" s="343"/>
      <c r="G44" s="342"/>
      <c r="H44" s="341"/>
      <c r="I44" s="340"/>
      <c r="J44" s="339"/>
      <c r="K44" s="338"/>
      <c r="L44" s="338"/>
      <c r="M44" s="338"/>
      <c r="N44" s="338"/>
    </row>
    <row r="45" spans="1:14" ht="12.75">
      <c r="A45" s="344"/>
      <c r="B45" s="343"/>
      <c r="C45" s="343"/>
      <c r="D45" s="343"/>
      <c r="E45" s="343"/>
      <c r="F45" s="343"/>
      <c r="G45" s="342"/>
      <c r="H45" s="341"/>
      <c r="I45" s="340"/>
      <c r="J45" s="339"/>
      <c r="K45" s="338"/>
      <c r="L45" s="338"/>
      <c r="M45" s="338"/>
      <c r="N45" s="338"/>
    </row>
    <row r="46" spans="1:14" ht="12.75">
      <c r="A46" s="344"/>
      <c r="B46" s="343"/>
      <c r="C46" s="343"/>
      <c r="D46" s="343"/>
      <c r="E46" s="343"/>
      <c r="F46" s="343"/>
      <c r="G46" s="342"/>
      <c r="H46" s="341"/>
      <c r="I46" s="340"/>
      <c r="J46" s="339"/>
      <c r="K46" s="338"/>
      <c r="L46" s="338"/>
      <c r="M46" s="338"/>
      <c r="N46" s="338"/>
    </row>
    <row r="47" spans="1:14" ht="12.75">
      <c r="A47" s="344"/>
      <c r="B47" s="343"/>
      <c r="C47" s="343"/>
      <c r="D47" s="343"/>
      <c r="E47" s="343"/>
      <c r="F47" s="343"/>
      <c r="G47" s="342"/>
      <c r="H47" s="341"/>
      <c r="I47" s="340"/>
      <c r="J47" s="339"/>
      <c r="K47" s="338"/>
      <c r="L47" s="338"/>
      <c r="M47" s="338"/>
      <c r="N47" s="338"/>
    </row>
    <row r="48" spans="1:14" ht="12.75">
      <c r="A48" s="344"/>
      <c r="B48" s="343"/>
      <c r="C48" s="343"/>
      <c r="D48" s="343"/>
      <c r="E48" s="343"/>
      <c r="F48" s="343"/>
      <c r="G48" s="342"/>
      <c r="H48" s="341"/>
      <c r="I48" s="340"/>
      <c r="J48" s="339"/>
      <c r="K48" s="338"/>
      <c r="L48" s="338"/>
      <c r="M48" s="338"/>
      <c r="N48" s="338"/>
    </row>
    <row r="49" spans="1:14" ht="12.75">
      <c r="A49" s="344"/>
      <c r="B49" s="343"/>
      <c r="C49" s="343"/>
      <c r="D49" s="343"/>
      <c r="E49" s="343"/>
      <c r="F49" s="343"/>
      <c r="G49" s="342"/>
      <c r="H49" s="341"/>
      <c r="I49" s="340"/>
      <c r="J49" s="339"/>
      <c r="K49" s="338"/>
      <c r="L49" s="338"/>
      <c r="M49" s="338"/>
      <c r="N49" s="338"/>
    </row>
    <row r="50" spans="1:14" ht="12.75">
      <c r="A50" s="344"/>
      <c r="B50" s="343"/>
      <c r="C50" s="343"/>
      <c r="D50" s="343"/>
      <c r="E50" s="343"/>
      <c r="F50" s="343"/>
      <c r="G50" s="342"/>
      <c r="H50" s="341"/>
      <c r="I50" s="340"/>
      <c r="J50" s="339"/>
      <c r="K50" s="338"/>
      <c r="L50" s="338"/>
      <c r="M50" s="338"/>
      <c r="N50" s="338"/>
    </row>
    <row r="51" spans="1:14" ht="12.75">
      <c r="A51" s="344"/>
      <c r="B51" s="343"/>
      <c r="C51" s="343"/>
      <c r="D51" s="343"/>
      <c r="E51" s="343"/>
      <c r="F51" s="343"/>
      <c r="G51" s="342"/>
      <c r="H51" s="341"/>
      <c r="I51" s="340"/>
      <c r="J51" s="339"/>
      <c r="K51" s="338"/>
      <c r="L51" s="338"/>
      <c r="M51" s="338"/>
      <c r="N51" s="338"/>
    </row>
    <row r="52" spans="1:14" ht="12.75">
      <c r="A52" s="344"/>
      <c r="B52" s="343"/>
      <c r="C52" s="343"/>
      <c r="D52" s="343"/>
      <c r="E52" s="343"/>
      <c r="F52" s="343"/>
      <c r="G52" s="342"/>
      <c r="H52" s="341"/>
      <c r="I52" s="340"/>
      <c r="J52" s="339"/>
      <c r="K52" s="338"/>
      <c r="L52" s="338"/>
      <c r="M52" s="338"/>
      <c r="N52" s="338"/>
    </row>
    <row r="53" spans="1:14" ht="12.75">
      <c r="A53" s="344"/>
      <c r="B53" s="343"/>
      <c r="C53" s="343"/>
      <c r="D53" s="343"/>
      <c r="E53" s="343"/>
      <c r="F53" s="343"/>
      <c r="G53" s="342"/>
      <c r="H53" s="341"/>
      <c r="I53" s="340"/>
      <c r="J53" s="339"/>
      <c r="K53" s="338"/>
      <c r="L53" s="338"/>
      <c r="M53" s="338"/>
      <c r="N53" s="338"/>
    </row>
    <row r="54" spans="1:14" ht="12.75">
      <c r="A54" s="344"/>
      <c r="B54" s="343"/>
      <c r="C54" s="343"/>
      <c r="D54" s="343"/>
      <c r="E54" s="343"/>
      <c r="F54" s="343"/>
      <c r="G54" s="342"/>
      <c r="H54" s="341"/>
      <c r="I54" s="340"/>
      <c r="J54" s="339"/>
      <c r="K54" s="338"/>
      <c r="L54" s="338"/>
      <c r="M54" s="338"/>
      <c r="N54" s="338"/>
    </row>
    <row r="55" spans="1:14" ht="12.75">
      <c r="A55" s="344"/>
      <c r="B55" s="343"/>
      <c r="C55" s="343"/>
      <c r="D55" s="343"/>
      <c r="E55" s="343"/>
      <c r="F55" s="343"/>
      <c r="G55" s="342"/>
      <c r="H55" s="341"/>
      <c r="I55" s="340"/>
      <c r="J55" s="339"/>
      <c r="K55" s="338"/>
      <c r="L55" s="338"/>
      <c r="M55" s="338"/>
      <c r="N55" s="338"/>
    </row>
    <row r="56" spans="1:14" ht="12.75">
      <c r="A56" s="344"/>
      <c r="B56" s="343"/>
      <c r="C56" s="343"/>
      <c r="D56" s="343"/>
      <c r="E56" s="343"/>
      <c r="F56" s="343"/>
      <c r="G56" s="342"/>
      <c r="H56" s="341"/>
      <c r="I56" s="340"/>
      <c r="J56" s="339"/>
      <c r="K56" s="338"/>
      <c r="L56" s="338"/>
      <c r="M56" s="338"/>
      <c r="N56" s="338"/>
    </row>
    <row r="57" spans="1:14" ht="12.75">
      <c r="A57" s="344"/>
      <c r="B57" s="343"/>
      <c r="C57" s="343"/>
      <c r="D57" s="343"/>
      <c r="E57" s="343"/>
      <c r="F57" s="343"/>
      <c r="G57" s="342"/>
      <c r="H57" s="341"/>
      <c r="I57" s="340"/>
      <c r="J57" s="339"/>
      <c r="K57" s="338"/>
      <c r="L57" s="338"/>
      <c r="M57" s="338"/>
      <c r="N57" s="338"/>
    </row>
    <row r="58" spans="1:14" ht="12.75">
      <c r="A58" s="344"/>
      <c r="B58" s="343"/>
      <c r="C58" s="343"/>
      <c r="D58" s="343"/>
      <c r="E58" s="343"/>
      <c r="F58" s="343"/>
      <c r="G58" s="342"/>
      <c r="H58" s="341"/>
      <c r="I58" s="340"/>
      <c r="J58" s="339"/>
      <c r="K58" s="338"/>
      <c r="L58" s="338"/>
      <c r="M58" s="338"/>
      <c r="N58" s="338"/>
    </row>
    <row r="59" spans="1:14" ht="12.75">
      <c r="A59" s="344"/>
      <c r="B59" s="343"/>
      <c r="C59" s="343"/>
      <c r="D59" s="343"/>
      <c r="E59" s="343"/>
      <c r="F59" s="343"/>
      <c r="G59" s="342"/>
      <c r="H59" s="341"/>
      <c r="I59" s="340"/>
      <c r="J59" s="339"/>
      <c r="K59" s="338"/>
      <c r="L59" s="338"/>
      <c r="M59" s="338"/>
      <c r="N59" s="338"/>
    </row>
    <row r="60" spans="1:14" ht="12.75">
      <c r="A60" s="344"/>
      <c r="B60" s="343"/>
      <c r="C60" s="343"/>
      <c r="D60" s="343"/>
      <c r="E60" s="343"/>
      <c r="F60" s="343"/>
      <c r="G60" s="342"/>
      <c r="H60" s="341"/>
      <c r="I60" s="340"/>
      <c r="J60" s="339"/>
      <c r="K60" s="338"/>
      <c r="L60" s="338"/>
      <c r="M60" s="338"/>
      <c r="N60" s="338"/>
    </row>
    <row r="61" spans="1:14" ht="12.75">
      <c r="A61" s="344"/>
      <c r="B61" s="343"/>
      <c r="C61" s="343"/>
      <c r="D61" s="343"/>
      <c r="E61" s="343"/>
      <c r="F61" s="343"/>
      <c r="G61" s="342"/>
      <c r="H61" s="341"/>
      <c r="I61" s="340"/>
      <c r="J61" s="339"/>
      <c r="K61" s="338"/>
      <c r="L61" s="338"/>
      <c r="M61" s="338"/>
      <c r="N61" s="338"/>
    </row>
    <row r="62" spans="1:14" ht="12.75">
      <c r="A62" s="344"/>
      <c r="B62" s="343"/>
      <c r="C62" s="343"/>
      <c r="D62" s="343"/>
      <c r="E62" s="343"/>
      <c r="F62" s="343"/>
      <c r="G62" s="342"/>
      <c r="H62" s="341"/>
      <c r="I62" s="340"/>
      <c r="J62" s="339"/>
      <c r="K62" s="338"/>
      <c r="L62" s="338"/>
      <c r="M62" s="338"/>
      <c r="N62" s="338"/>
    </row>
    <row r="63" spans="1:14" ht="12.75">
      <c r="A63" s="344"/>
      <c r="B63" s="343"/>
      <c r="C63" s="343"/>
      <c r="D63" s="343"/>
      <c r="E63" s="343"/>
      <c r="F63" s="343"/>
      <c r="G63" s="342"/>
      <c r="H63" s="341"/>
      <c r="I63" s="340"/>
      <c r="J63" s="339"/>
      <c r="K63" s="338"/>
      <c r="L63" s="338"/>
      <c r="M63" s="338"/>
      <c r="N63" s="338"/>
    </row>
    <row r="64" spans="1:14" ht="12.75">
      <c r="A64" s="337"/>
      <c r="B64" s="336"/>
      <c r="C64" s="336"/>
      <c r="D64" s="336"/>
      <c r="E64" s="336"/>
      <c r="F64" s="336"/>
      <c r="G64" s="335"/>
      <c r="H64" s="334"/>
      <c r="I64" s="340"/>
      <c r="J64" s="339"/>
      <c r="K64" s="338"/>
      <c r="L64" s="338"/>
      <c r="M64" s="338"/>
      <c r="N64" s="338"/>
    </row>
    <row r="65" spans="1:14" ht="12.75">
      <c r="A65" s="337"/>
      <c r="B65" s="336"/>
      <c r="C65" s="336"/>
      <c r="D65" s="336"/>
      <c r="E65" s="336"/>
      <c r="F65" s="336"/>
      <c r="G65" s="335"/>
      <c r="H65" s="334"/>
      <c r="I65" s="340"/>
      <c r="J65" s="339"/>
      <c r="K65" s="338"/>
      <c r="L65" s="338"/>
      <c r="M65" s="338"/>
      <c r="N65" s="338"/>
    </row>
    <row r="66" spans="1:14" ht="12.75">
      <c r="A66" s="337"/>
      <c r="B66" s="336"/>
      <c r="C66" s="336"/>
      <c r="D66" s="336"/>
      <c r="E66" s="336"/>
      <c r="F66" s="336"/>
      <c r="G66" s="335"/>
      <c r="H66" s="334"/>
      <c r="I66" s="340"/>
      <c r="J66" s="339"/>
      <c r="K66" s="338"/>
      <c r="L66" s="338"/>
      <c r="M66" s="338"/>
      <c r="N66" s="338"/>
    </row>
    <row r="67" spans="1:14" ht="12.75">
      <c r="A67" s="344"/>
      <c r="B67" s="343"/>
      <c r="C67" s="343"/>
      <c r="D67" s="343"/>
      <c r="E67" s="343"/>
      <c r="F67" s="343"/>
      <c r="G67" s="342"/>
      <c r="H67" s="341"/>
      <c r="I67" s="340"/>
      <c r="J67" s="339"/>
      <c r="K67" s="338"/>
      <c r="L67" s="338"/>
      <c r="M67" s="338"/>
      <c r="N67" s="338"/>
    </row>
    <row r="68" spans="1:14" ht="15">
      <c r="A68" s="337"/>
      <c r="B68" s="336"/>
      <c r="C68" s="336"/>
      <c r="D68" s="336"/>
      <c r="E68" s="336"/>
      <c r="F68" s="336"/>
      <c r="G68" s="335"/>
      <c r="H68" s="334"/>
      <c r="I68" s="333"/>
      <c r="J68" s="332"/>
      <c r="K68" s="332"/>
      <c r="L68" s="332"/>
      <c r="M68" s="332"/>
      <c r="N68" s="332"/>
    </row>
    <row r="69" spans="1:14" ht="12.75">
      <c r="A69" s="344"/>
      <c r="B69" s="343"/>
      <c r="C69" s="343"/>
      <c r="D69" s="343"/>
      <c r="E69" s="343"/>
      <c r="F69" s="343"/>
      <c r="G69" s="342"/>
      <c r="H69" s="341"/>
      <c r="I69" s="340"/>
      <c r="J69" s="339"/>
      <c r="K69" s="338"/>
      <c r="L69" s="338"/>
      <c r="M69" s="338"/>
      <c r="N69" s="338"/>
    </row>
    <row r="70" spans="1:14" ht="12.75">
      <c r="A70" s="344"/>
      <c r="B70" s="343"/>
      <c r="C70" s="343"/>
      <c r="D70" s="343"/>
      <c r="E70" s="343"/>
      <c r="F70" s="343"/>
      <c r="G70" s="342"/>
      <c r="H70" s="341"/>
      <c r="I70" s="340"/>
      <c r="J70" s="339"/>
      <c r="K70" s="338"/>
      <c r="L70" s="338"/>
      <c r="M70" s="338"/>
      <c r="N70" s="338"/>
    </row>
    <row r="71" spans="1:14" ht="12.75">
      <c r="A71" s="344"/>
      <c r="B71" s="343"/>
      <c r="C71" s="343"/>
      <c r="D71" s="343"/>
      <c r="E71" s="343"/>
      <c r="F71" s="343"/>
      <c r="G71" s="342"/>
      <c r="H71" s="341"/>
      <c r="I71" s="340"/>
      <c r="J71" s="339"/>
      <c r="K71" s="338"/>
      <c r="L71" s="338"/>
      <c r="M71" s="338"/>
      <c r="N71" s="338"/>
    </row>
    <row r="72" spans="1:14" ht="12.75">
      <c r="A72" s="344"/>
      <c r="B72" s="343"/>
      <c r="C72" s="343"/>
      <c r="D72" s="343"/>
      <c r="E72" s="343"/>
      <c r="F72" s="343"/>
      <c r="G72" s="342"/>
      <c r="H72" s="341"/>
      <c r="I72" s="340"/>
      <c r="J72" s="339"/>
      <c r="K72" s="338"/>
      <c r="L72" s="338"/>
      <c r="M72" s="338"/>
      <c r="N72" s="338"/>
    </row>
    <row r="73" spans="1:14" ht="12.75">
      <c r="A73" s="344"/>
      <c r="B73" s="343"/>
      <c r="C73" s="343"/>
      <c r="D73" s="343"/>
      <c r="E73" s="343"/>
      <c r="F73" s="343"/>
      <c r="G73" s="342"/>
      <c r="H73" s="341"/>
      <c r="I73" s="340"/>
      <c r="J73" s="339"/>
      <c r="K73" s="338"/>
      <c r="L73" s="338"/>
      <c r="M73" s="338"/>
      <c r="N73" s="338"/>
    </row>
    <row r="74" spans="1:14" ht="12.75">
      <c r="A74" s="344"/>
      <c r="B74" s="343"/>
      <c r="C74" s="343"/>
      <c r="D74" s="343"/>
      <c r="E74" s="343"/>
      <c r="F74" s="343"/>
      <c r="G74" s="342"/>
      <c r="H74" s="341"/>
      <c r="I74" s="340"/>
      <c r="J74" s="339"/>
      <c r="K74" s="338"/>
      <c r="L74" s="338"/>
      <c r="M74" s="338"/>
      <c r="N74" s="338"/>
    </row>
    <row r="75" spans="1:14" ht="12.75">
      <c r="A75" s="344"/>
      <c r="B75" s="343"/>
      <c r="C75" s="343"/>
      <c r="D75" s="343"/>
      <c r="E75" s="343"/>
      <c r="F75" s="343"/>
      <c r="G75" s="342"/>
      <c r="H75" s="341"/>
      <c r="I75" s="340"/>
      <c r="J75" s="339"/>
      <c r="K75" s="338"/>
      <c r="L75" s="338"/>
      <c r="M75" s="338"/>
      <c r="N75" s="338"/>
    </row>
    <row r="76" spans="1:14" ht="12.75">
      <c r="A76" s="344"/>
      <c r="B76" s="343"/>
      <c r="C76" s="343"/>
      <c r="D76" s="343"/>
      <c r="E76" s="343"/>
      <c r="F76" s="343"/>
      <c r="G76" s="342"/>
      <c r="H76" s="341"/>
      <c r="I76" s="340"/>
      <c r="J76" s="339"/>
      <c r="K76" s="338"/>
      <c r="L76" s="338"/>
      <c r="M76" s="338"/>
      <c r="N76" s="338"/>
    </row>
    <row r="77" spans="1:14" ht="12.75">
      <c r="A77" s="344"/>
      <c r="B77" s="343"/>
      <c r="C77" s="343"/>
      <c r="D77" s="343"/>
      <c r="E77" s="343"/>
      <c r="F77" s="343"/>
      <c r="G77" s="342"/>
      <c r="H77" s="341"/>
      <c r="I77" s="340"/>
      <c r="J77" s="339"/>
      <c r="K77" s="338"/>
      <c r="L77" s="338"/>
      <c r="M77" s="338"/>
      <c r="N77" s="338"/>
    </row>
    <row r="78" spans="1:14" ht="12.75">
      <c r="A78" s="344"/>
      <c r="B78" s="343"/>
      <c r="C78" s="343"/>
      <c r="D78" s="343"/>
      <c r="E78" s="343"/>
      <c r="F78" s="343"/>
      <c r="G78" s="342"/>
      <c r="H78" s="341"/>
      <c r="I78" s="340"/>
      <c r="J78" s="339"/>
      <c r="K78" s="338"/>
      <c r="L78" s="338"/>
      <c r="M78" s="338"/>
      <c r="N78" s="338"/>
    </row>
    <row r="79" spans="1:14" ht="12.75">
      <c r="A79" s="344"/>
      <c r="B79" s="343"/>
      <c r="C79" s="343"/>
      <c r="D79" s="343"/>
      <c r="E79" s="343"/>
      <c r="F79" s="343"/>
      <c r="G79" s="342"/>
      <c r="H79" s="341"/>
      <c r="I79" s="340"/>
      <c r="J79" s="339"/>
      <c r="K79" s="338"/>
      <c r="L79" s="338"/>
      <c r="M79" s="338"/>
      <c r="N79" s="338"/>
    </row>
    <row r="80" spans="1:14" ht="12.75">
      <c r="A80" s="344"/>
      <c r="B80" s="343"/>
      <c r="C80" s="343"/>
      <c r="D80" s="343"/>
      <c r="E80" s="343"/>
      <c r="F80" s="343"/>
      <c r="G80" s="342"/>
      <c r="H80" s="341"/>
      <c r="I80" s="340"/>
      <c r="J80" s="339"/>
      <c r="K80" s="338"/>
      <c r="L80" s="338"/>
      <c r="M80" s="338"/>
      <c r="N80" s="338"/>
    </row>
    <row r="81" spans="1:14" ht="12.75">
      <c r="A81" s="344"/>
      <c r="B81" s="343"/>
      <c r="C81" s="343"/>
      <c r="D81" s="343"/>
      <c r="E81" s="343"/>
      <c r="F81" s="343"/>
      <c r="G81" s="342"/>
      <c r="H81" s="341"/>
      <c r="I81" s="340"/>
      <c r="J81" s="339"/>
      <c r="K81" s="338"/>
      <c r="L81" s="338"/>
      <c r="M81" s="338"/>
      <c r="N81" s="338"/>
    </row>
    <row r="82" spans="1:14" ht="12.75">
      <c r="A82" s="344"/>
      <c r="B82" s="343"/>
      <c r="C82" s="343"/>
      <c r="D82" s="343"/>
      <c r="E82" s="343"/>
      <c r="F82" s="343"/>
      <c r="G82" s="342"/>
      <c r="H82" s="341"/>
      <c r="I82" s="340"/>
      <c r="J82" s="339"/>
      <c r="K82" s="338"/>
      <c r="L82" s="338"/>
      <c r="M82" s="338"/>
      <c r="N82" s="338"/>
    </row>
    <row r="83" spans="1:14" ht="12.75">
      <c r="A83" s="344"/>
      <c r="B83" s="343"/>
      <c r="C83" s="343"/>
      <c r="D83" s="343"/>
      <c r="E83" s="343"/>
      <c r="F83" s="343"/>
      <c r="G83" s="342"/>
      <c r="H83" s="341"/>
      <c r="I83" s="340"/>
      <c r="J83" s="339"/>
      <c r="K83" s="338"/>
      <c r="L83" s="338"/>
      <c r="M83" s="338"/>
      <c r="N83" s="338"/>
    </row>
    <row r="84" spans="1:14" ht="12.75">
      <c r="A84" s="344"/>
      <c r="B84" s="343"/>
      <c r="C84" s="343"/>
      <c r="D84" s="343"/>
      <c r="E84" s="343"/>
      <c r="F84" s="343"/>
      <c r="G84" s="342"/>
      <c r="H84" s="341"/>
      <c r="I84" s="340"/>
      <c r="J84" s="339"/>
      <c r="K84" s="338"/>
      <c r="L84" s="338"/>
      <c r="M84" s="338"/>
      <c r="N84" s="338"/>
    </row>
    <row r="85" spans="1:14" ht="12.75">
      <c r="A85" s="344"/>
      <c r="B85" s="343"/>
      <c r="C85" s="343"/>
      <c r="D85" s="343"/>
      <c r="E85" s="343"/>
      <c r="F85" s="343"/>
      <c r="G85" s="342"/>
      <c r="H85" s="341"/>
      <c r="I85" s="340"/>
      <c r="J85" s="339"/>
      <c r="K85" s="338"/>
      <c r="L85" s="338"/>
      <c r="M85" s="338"/>
      <c r="N85" s="338"/>
    </row>
    <row r="86" spans="1:14" ht="12.75">
      <c r="A86" s="344"/>
      <c r="B86" s="343"/>
      <c r="C86" s="343"/>
      <c r="D86" s="343"/>
      <c r="E86" s="343"/>
      <c r="F86" s="343"/>
      <c r="G86" s="342"/>
      <c r="H86" s="341"/>
      <c r="I86" s="340"/>
      <c r="J86" s="339"/>
      <c r="K86" s="338"/>
      <c r="L86" s="338"/>
      <c r="M86" s="338"/>
      <c r="N86" s="338"/>
    </row>
    <row r="87" spans="1:14" ht="12.75">
      <c r="A87" s="344"/>
      <c r="B87" s="343"/>
      <c r="C87" s="343"/>
      <c r="D87" s="343"/>
      <c r="E87" s="343"/>
      <c r="F87" s="343"/>
      <c r="G87" s="342"/>
      <c r="H87" s="341"/>
      <c r="I87" s="340"/>
      <c r="J87" s="339"/>
      <c r="K87" s="338"/>
      <c r="L87" s="338"/>
      <c r="M87" s="338"/>
      <c r="N87" s="338"/>
    </row>
    <row r="88" spans="1:14" ht="12.75">
      <c r="A88" s="344"/>
      <c r="B88" s="343"/>
      <c r="C88" s="343"/>
      <c r="D88" s="343"/>
      <c r="E88" s="343"/>
      <c r="F88" s="343"/>
      <c r="G88" s="342"/>
      <c r="H88" s="341"/>
      <c r="I88" s="340"/>
      <c r="J88" s="339"/>
      <c r="K88" s="338"/>
      <c r="L88" s="338"/>
      <c r="M88" s="338"/>
      <c r="N88" s="338"/>
    </row>
    <row r="89" spans="1:14" ht="12.75">
      <c r="A89" s="344"/>
      <c r="B89" s="343"/>
      <c r="C89" s="343"/>
      <c r="D89" s="343"/>
      <c r="E89" s="343"/>
      <c r="F89" s="343"/>
      <c r="G89" s="342"/>
      <c r="H89" s="341"/>
      <c r="I89" s="340"/>
      <c r="J89" s="339"/>
      <c r="K89" s="338"/>
      <c r="L89" s="338"/>
      <c r="M89" s="338"/>
      <c r="N89" s="338"/>
    </row>
    <row r="90" spans="1:14" ht="12.75">
      <c r="A90" s="344"/>
      <c r="B90" s="343"/>
      <c r="C90" s="343"/>
      <c r="D90" s="343"/>
      <c r="E90" s="343"/>
      <c r="F90" s="343"/>
      <c r="G90" s="342"/>
      <c r="H90" s="341"/>
      <c r="I90" s="340"/>
      <c r="J90" s="339"/>
      <c r="K90" s="338"/>
      <c r="L90" s="338"/>
      <c r="M90" s="338"/>
      <c r="N90" s="338"/>
    </row>
    <row r="91" spans="1:14" ht="12.75">
      <c r="A91" s="344"/>
      <c r="B91" s="343"/>
      <c r="C91" s="343"/>
      <c r="D91" s="343"/>
      <c r="E91" s="343"/>
      <c r="F91" s="343"/>
      <c r="G91" s="342"/>
      <c r="H91" s="341"/>
      <c r="I91" s="340"/>
      <c r="J91" s="339"/>
      <c r="K91" s="338"/>
      <c r="L91" s="338"/>
      <c r="M91" s="338"/>
      <c r="N91" s="338"/>
    </row>
    <row r="92" spans="1:14" ht="12.75">
      <c r="A92" s="344"/>
      <c r="B92" s="343"/>
      <c r="C92" s="343"/>
      <c r="D92" s="343"/>
      <c r="E92" s="343"/>
      <c r="F92" s="343"/>
      <c r="G92" s="342"/>
      <c r="H92" s="341"/>
      <c r="I92" s="340"/>
      <c r="J92" s="339"/>
      <c r="K92" s="338"/>
      <c r="L92" s="338"/>
      <c r="M92" s="338"/>
      <c r="N92" s="338"/>
    </row>
    <row r="93" spans="1:14" ht="12.75">
      <c r="A93" s="344"/>
      <c r="B93" s="343"/>
      <c r="C93" s="343"/>
      <c r="D93" s="343"/>
      <c r="E93" s="343"/>
      <c r="F93" s="343"/>
      <c r="G93" s="342"/>
      <c r="H93" s="341"/>
      <c r="I93" s="340"/>
      <c r="J93" s="339"/>
      <c r="K93" s="338"/>
      <c r="L93" s="338"/>
      <c r="M93" s="338"/>
      <c r="N93" s="338"/>
    </row>
    <row r="94" spans="1:14" ht="12.75">
      <c r="A94" s="344"/>
      <c r="B94" s="343"/>
      <c r="C94" s="343"/>
      <c r="D94" s="343"/>
      <c r="E94" s="343"/>
      <c r="F94" s="343"/>
      <c r="G94" s="342"/>
      <c r="H94" s="341"/>
      <c r="I94" s="340"/>
      <c r="J94" s="339"/>
      <c r="K94" s="338"/>
      <c r="L94" s="338"/>
      <c r="M94" s="338"/>
      <c r="N94" s="338"/>
    </row>
    <row r="95" spans="1:14" ht="12.75">
      <c r="A95" s="344"/>
      <c r="B95" s="343"/>
      <c r="C95" s="343"/>
      <c r="D95" s="343"/>
      <c r="E95" s="343"/>
      <c r="F95" s="343"/>
      <c r="G95" s="342"/>
      <c r="H95" s="341"/>
      <c r="I95" s="340"/>
      <c r="J95" s="339"/>
      <c r="K95" s="338"/>
      <c r="L95" s="338"/>
      <c r="M95" s="338"/>
      <c r="N95" s="338"/>
    </row>
    <row r="96" spans="1:14" ht="12.75">
      <c r="A96" s="344"/>
      <c r="B96" s="343"/>
      <c r="C96" s="343"/>
      <c r="D96" s="343"/>
      <c r="E96" s="343"/>
      <c r="F96" s="343"/>
      <c r="G96" s="342"/>
      <c r="H96" s="341"/>
      <c r="I96" s="340"/>
      <c r="J96" s="339"/>
      <c r="K96" s="338"/>
      <c r="L96" s="338"/>
      <c r="M96" s="338"/>
      <c r="N96" s="338"/>
    </row>
    <row r="97" spans="1:14" ht="12.75">
      <c r="A97" s="344"/>
      <c r="B97" s="343"/>
      <c r="C97" s="343"/>
      <c r="D97" s="343"/>
      <c r="E97" s="343"/>
      <c r="F97" s="343"/>
      <c r="G97" s="342"/>
      <c r="H97" s="341"/>
      <c r="I97" s="340"/>
      <c r="J97" s="339"/>
      <c r="K97" s="338"/>
      <c r="L97" s="338"/>
      <c r="M97" s="338"/>
      <c r="N97" s="338"/>
    </row>
    <row r="98" spans="1:14" ht="12.75">
      <c r="A98" s="344"/>
      <c r="B98" s="343"/>
      <c r="C98" s="343"/>
      <c r="D98" s="343"/>
      <c r="E98" s="343"/>
      <c r="F98" s="343"/>
      <c r="G98" s="342"/>
      <c r="H98" s="341"/>
      <c r="I98" s="340"/>
      <c r="J98" s="339"/>
      <c r="K98" s="338"/>
      <c r="L98" s="338"/>
      <c r="M98" s="338"/>
      <c r="N98" s="338"/>
    </row>
    <row r="99" spans="1:14" ht="12.75">
      <c r="A99" s="344"/>
      <c r="B99" s="343"/>
      <c r="C99" s="343"/>
      <c r="D99" s="343"/>
      <c r="E99" s="343"/>
      <c r="F99" s="343"/>
      <c r="G99" s="342"/>
      <c r="H99" s="341"/>
      <c r="I99" s="340"/>
      <c r="J99" s="339"/>
      <c r="K99" s="338"/>
      <c r="L99" s="338"/>
      <c r="M99" s="338"/>
      <c r="N99" s="338"/>
    </row>
    <row r="100" spans="1:14" ht="12.75">
      <c r="A100" s="344"/>
      <c r="B100" s="343"/>
      <c r="C100" s="343"/>
      <c r="D100" s="343"/>
      <c r="E100" s="343"/>
      <c r="F100" s="343"/>
      <c r="G100" s="342"/>
      <c r="H100" s="341"/>
      <c r="I100" s="340"/>
      <c r="J100" s="339"/>
      <c r="K100" s="338"/>
      <c r="L100" s="338"/>
      <c r="M100" s="338"/>
      <c r="N100" s="338"/>
    </row>
    <row r="101" spans="1:14" ht="12.75">
      <c r="A101" s="344"/>
      <c r="B101" s="343"/>
      <c r="C101" s="343"/>
      <c r="D101" s="343"/>
      <c r="E101" s="343"/>
      <c r="F101" s="343"/>
      <c r="G101" s="342"/>
      <c r="H101" s="341"/>
      <c r="I101" s="340"/>
      <c r="J101" s="339"/>
      <c r="K101" s="338"/>
      <c r="L101" s="338"/>
      <c r="M101" s="338"/>
      <c r="N101" s="338"/>
    </row>
    <row r="102" spans="1:14" ht="12.75">
      <c r="A102" s="344"/>
      <c r="B102" s="343"/>
      <c r="C102" s="343"/>
      <c r="D102" s="343"/>
      <c r="E102" s="343"/>
      <c r="F102" s="343"/>
      <c r="G102" s="342"/>
      <c r="H102" s="341"/>
      <c r="I102" s="340"/>
      <c r="J102" s="339"/>
      <c r="K102" s="338"/>
      <c r="L102" s="338"/>
      <c r="M102" s="338"/>
      <c r="N102" s="338"/>
    </row>
    <row r="103" spans="1:14" ht="12.75">
      <c r="A103" s="344"/>
      <c r="B103" s="343"/>
      <c r="C103" s="343"/>
      <c r="D103" s="343"/>
      <c r="E103" s="343"/>
      <c r="F103" s="343"/>
      <c r="G103" s="342"/>
      <c r="H103" s="341"/>
      <c r="I103" s="340"/>
      <c r="J103" s="339"/>
      <c r="K103" s="338"/>
      <c r="L103" s="338"/>
      <c r="M103" s="338"/>
      <c r="N103" s="338"/>
    </row>
    <row r="104" spans="1:14" ht="12.75">
      <c r="A104" s="344"/>
      <c r="B104" s="343"/>
      <c r="C104" s="343"/>
      <c r="D104" s="343"/>
      <c r="E104" s="343"/>
      <c r="F104" s="343"/>
      <c r="G104" s="342"/>
      <c r="H104" s="341"/>
      <c r="I104" s="340"/>
      <c r="J104" s="339"/>
      <c r="K104" s="338"/>
      <c r="L104" s="338"/>
      <c r="M104" s="338"/>
      <c r="N104" s="338"/>
    </row>
    <row r="105" spans="1:14" ht="12.75">
      <c r="A105" s="344"/>
      <c r="B105" s="343"/>
      <c r="C105" s="343"/>
      <c r="D105" s="343"/>
      <c r="E105" s="343"/>
      <c r="F105" s="343"/>
      <c r="G105" s="342"/>
      <c r="H105" s="341"/>
      <c r="I105" s="340"/>
      <c r="J105" s="339"/>
      <c r="K105" s="338"/>
      <c r="L105" s="338"/>
      <c r="M105" s="338"/>
      <c r="N105" s="338"/>
    </row>
    <row r="106" spans="1:14" ht="12.75">
      <c r="A106" s="344"/>
      <c r="B106" s="343"/>
      <c r="C106" s="343"/>
      <c r="D106" s="343"/>
      <c r="E106" s="343"/>
      <c r="F106" s="343"/>
      <c r="G106" s="342"/>
      <c r="H106" s="341"/>
      <c r="I106" s="340"/>
      <c r="J106" s="339"/>
      <c r="K106" s="338"/>
      <c r="L106" s="338"/>
      <c r="M106" s="338"/>
      <c r="N106" s="338"/>
    </row>
    <row r="107" spans="1:14" ht="12.75">
      <c r="A107" s="344"/>
      <c r="B107" s="343"/>
      <c r="C107" s="343"/>
      <c r="D107" s="343"/>
      <c r="E107" s="343"/>
      <c r="F107" s="343"/>
      <c r="G107" s="342"/>
      <c r="H107" s="341"/>
      <c r="I107" s="340"/>
      <c r="J107" s="339"/>
      <c r="K107" s="338"/>
      <c r="L107" s="338"/>
      <c r="M107" s="338"/>
      <c r="N107" s="338"/>
    </row>
    <row r="108" spans="1:14" ht="12.75">
      <c r="A108" s="344"/>
      <c r="B108" s="343"/>
      <c r="C108" s="343"/>
      <c r="D108" s="343"/>
      <c r="E108" s="343"/>
      <c r="F108" s="343"/>
      <c r="G108" s="342"/>
      <c r="H108" s="341"/>
      <c r="I108" s="340"/>
      <c r="J108" s="339"/>
      <c r="K108" s="338"/>
      <c r="L108" s="338"/>
      <c r="M108" s="338"/>
      <c r="N108" s="338"/>
    </row>
    <row r="109" spans="1:14" ht="12.75">
      <c r="A109" s="344"/>
      <c r="B109" s="343"/>
      <c r="C109" s="343"/>
      <c r="D109" s="343"/>
      <c r="E109" s="343"/>
      <c r="F109" s="343"/>
      <c r="G109" s="342"/>
      <c r="H109" s="341"/>
      <c r="I109" s="340"/>
      <c r="J109" s="339"/>
      <c r="K109" s="338"/>
      <c r="L109" s="338"/>
      <c r="M109" s="338"/>
      <c r="N109" s="338"/>
    </row>
    <row r="110" spans="1:14" ht="12.75">
      <c r="A110" s="344"/>
      <c r="B110" s="343"/>
      <c r="C110" s="343"/>
      <c r="D110" s="343"/>
      <c r="E110" s="343"/>
      <c r="F110" s="343"/>
      <c r="G110" s="342"/>
      <c r="H110" s="341"/>
      <c r="I110" s="340"/>
      <c r="J110" s="339"/>
      <c r="K110" s="338"/>
      <c r="L110" s="338"/>
      <c r="M110" s="338"/>
      <c r="N110" s="338"/>
    </row>
    <row r="111" spans="1:14" ht="12.75">
      <c r="A111" s="344"/>
      <c r="B111" s="343"/>
      <c r="C111" s="343"/>
      <c r="D111" s="343"/>
      <c r="E111" s="343"/>
      <c r="F111" s="343"/>
      <c r="G111" s="342"/>
      <c r="H111" s="341"/>
      <c r="I111" s="340"/>
      <c r="J111" s="339"/>
      <c r="K111" s="338"/>
      <c r="L111" s="338"/>
      <c r="M111" s="338"/>
      <c r="N111" s="338"/>
    </row>
    <row r="112" spans="1:14" ht="12.75">
      <c r="A112" s="344"/>
      <c r="B112" s="343"/>
      <c r="C112" s="343"/>
      <c r="D112" s="343"/>
      <c r="E112" s="343"/>
      <c r="F112" s="343"/>
      <c r="G112" s="342"/>
      <c r="H112" s="341"/>
      <c r="I112" s="340"/>
      <c r="J112" s="339"/>
      <c r="K112" s="338"/>
      <c r="L112" s="338"/>
      <c r="M112" s="338"/>
      <c r="N112" s="338"/>
    </row>
    <row r="113" spans="1:14" ht="12.75">
      <c r="A113" s="344"/>
      <c r="B113" s="343"/>
      <c r="C113" s="343"/>
      <c r="D113" s="343"/>
      <c r="E113" s="343"/>
      <c r="F113" s="343"/>
      <c r="G113" s="342"/>
      <c r="H113" s="341"/>
      <c r="I113" s="340"/>
      <c r="J113" s="339"/>
      <c r="K113" s="338"/>
      <c r="L113" s="338"/>
      <c r="M113" s="338"/>
      <c r="N113" s="338"/>
    </row>
    <row r="114" spans="1:14" ht="12.75">
      <c r="A114" s="344"/>
      <c r="B114" s="343"/>
      <c r="C114" s="343"/>
      <c r="D114" s="343"/>
      <c r="E114" s="343"/>
      <c r="F114" s="343"/>
      <c r="G114" s="342"/>
      <c r="H114" s="341"/>
      <c r="I114" s="340"/>
      <c r="J114" s="339"/>
      <c r="K114" s="338"/>
      <c r="L114" s="338"/>
      <c r="M114" s="338"/>
      <c r="N114" s="338"/>
    </row>
    <row r="115" spans="1:14" ht="12.75">
      <c r="A115" s="344"/>
      <c r="B115" s="343"/>
      <c r="C115" s="343"/>
      <c r="D115" s="343"/>
      <c r="E115" s="343"/>
      <c r="F115" s="343"/>
      <c r="G115" s="342"/>
      <c r="H115" s="341"/>
      <c r="I115" s="340"/>
      <c r="J115" s="339"/>
      <c r="K115" s="338"/>
      <c r="L115" s="338"/>
      <c r="M115" s="338"/>
      <c r="N115" s="338"/>
    </row>
    <row r="116" spans="1:14" ht="12.75">
      <c r="A116" s="344"/>
      <c r="B116" s="343"/>
      <c r="C116" s="343"/>
      <c r="D116" s="343"/>
      <c r="E116" s="343"/>
      <c r="F116" s="343"/>
      <c r="G116" s="342"/>
      <c r="H116" s="341"/>
      <c r="I116" s="340"/>
      <c r="J116" s="339"/>
      <c r="K116" s="338"/>
      <c r="L116" s="338"/>
      <c r="M116" s="338"/>
      <c r="N116" s="338"/>
    </row>
    <row r="117" spans="1:14" ht="12.75">
      <c r="A117" s="344"/>
      <c r="B117" s="343"/>
      <c r="C117" s="343"/>
      <c r="D117" s="343"/>
      <c r="E117" s="343"/>
      <c r="F117" s="343"/>
      <c r="G117" s="342"/>
      <c r="H117" s="341"/>
      <c r="I117" s="340"/>
      <c r="J117" s="339"/>
      <c r="K117" s="338"/>
      <c r="L117" s="338"/>
      <c r="M117" s="338"/>
      <c r="N117" s="338"/>
    </row>
    <row r="118" spans="1:14" ht="12.75">
      <c r="A118" s="344"/>
      <c r="B118" s="343"/>
      <c r="C118" s="343"/>
      <c r="D118" s="343"/>
      <c r="E118" s="343"/>
      <c r="F118" s="343"/>
      <c r="G118" s="342"/>
      <c r="H118" s="341"/>
      <c r="I118" s="340"/>
      <c r="J118" s="339"/>
      <c r="K118" s="338"/>
      <c r="L118" s="338"/>
      <c r="M118" s="338"/>
      <c r="N118" s="338"/>
    </row>
    <row r="119" spans="1:14" ht="12.75">
      <c r="A119" s="344"/>
      <c r="B119" s="343"/>
      <c r="C119" s="343"/>
      <c r="D119" s="343"/>
      <c r="E119" s="343"/>
      <c r="F119" s="343"/>
      <c r="G119" s="342"/>
      <c r="H119" s="341"/>
      <c r="I119" s="340"/>
      <c r="J119" s="339"/>
      <c r="K119" s="338"/>
      <c r="L119" s="338"/>
      <c r="M119" s="338"/>
      <c r="N119" s="338"/>
    </row>
    <row r="120" spans="1:14" ht="12.75">
      <c r="A120" s="344"/>
      <c r="B120" s="343"/>
      <c r="C120" s="343"/>
      <c r="D120" s="343"/>
      <c r="E120" s="343"/>
      <c r="F120" s="343"/>
      <c r="G120" s="342"/>
      <c r="H120" s="341"/>
      <c r="I120" s="340"/>
      <c r="J120" s="339"/>
      <c r="K120" s="338"/>
      <c r="L120" s="338"/>
      <c r="M120" s="338"/>
      <c r="N120" s="338"/>
    </row>
    <row r="121" spans="1:14" ht="12.75">
      <c r="A121" s="344"/>
      <c r="B121" s="343"/>
      <c r="C121" s="343"/>
      <c r="D121" s="343"/>
      <c r="E121" s="343"/>
      <c r="F121" s="343"/>
      <c r="G121" s="342"/>
      <c r="H121" s="341"/>
      <c r="I121" s="340"/>
      <c r="J121" s="339"/>
      <c r="K121" s="338"/>
      <c r="L121" s="338"/>
      <c r="M121" s="338"/>
      <c r="N121" s="338"/>
    </row>
    <row r="122" spans="1:14" ht="12.75">
      <c r="A122" s="344"/>
      <c r="B122" s="343"/>
      <c r="C122" s="343"/>
      <c r="D122" s="343"/>
      <c r="E122" s="343"/>
      <c r="F122" s="343"/>
      <c r="G122" s="342"/>
      <c r="H122" s="341"/>
      <c r="I122" s="340"/>
      <c r="J122" s="339"/>
      <c r="K122" s="338"/>
      <c r="L122" s="338"/>
      <c r="M122" s="338"/>
      <c r="N122" s="338"/>
    </row>
    <row r="123" spans="1:14" ht="12.75">
      <c r="A123" s="344"/>
      <c r="B123" s="343"/>
      <c r="C123" s="343"/>
      <c r="D123" s="343"/>
      <c r="E123" s="343"/>
      <c r="F123" s="343"/>
      <c r="G123" s="342"/>
      <c r="H123" s="341"/>
      <c r="I123" s="340"/>
      <c r="J123" s="339"/>
      <c r="K123" s="338"/>
      <c r="L123" s="338"/>
      <c r="M123" s="338"/>
      <c r="N123" s="338"/>
    </row>
    <row r="124" spans="1:14" ht="12.75">
      <c r="A124" s="344"/>
      <c r="B124" s="343"/>
      <c r="C124" s="343"/>
      <c r="D124" s="343"/>
      <c r="E124" s="343"/>
      <c r="F124" s="343"/>
      <c r="G124" s="342"/>
      <c r="H124" s="341"/>
      <c r="I124" s="340"/>
      <c r="J124" s="339"/>
      <c r="K124" s="338"/>
      <c r="L124" s="338"/>
      <c r="M124" s="338"/>
      <c r="N124" s="338"/>
    </row>
    <row r="125" spans="1:14" ht="12.75">
      <c r="A125" s="344"/>
      <c r="B125" s="343"/>
      <c r="C125" s="343"/>
      <c r="D125" s="343"/>
      <c r="E125" s="343"/>
      <c r="F125" s="343"/>
      <c r="G125" s="342"/>
      <c r="H125" s="341"/>
      <c r="I125" s="340"/>
      <c r="J125" s="339"/>
      <c r="K125" s="338"/>
      <c r="L125" s="338"/>
      <c r="M125" s="338"/>
      <c r="N125" s="338"/>
    </row>
    <row r="126" spans="1:14" ht="12.75">
      <c r="A126" s="344"/>
      <c r="B126" s="343"/>
      <c r="C126" s="343"/>
      <c r="D126" s="343"/>
      <c r="E126" s="343"/>
      <c r="F126" s="343"/>
      <c r="G126" s="342"/>
      <c r="H126" s="341"/>
      <c r="I126" s="340"/>
      <c r="J126" s="339"/>
      <c r="K126" s="338"/>
      <c r="L126" s="338"/>
      <c r="M126" s="338"/>
      <c r="N126" s="338"/>
    </row>
    <row r="127" spans="1:14" ht="12.75">
      <c r="A127" s="344"/>
      <c r="B127" s="343"/>
      <c r="C127" s="343"/>
      <c r="D127" s="343"/>
      <c r="E127" s="343"/>
      <c r="F127" s="343"/>
      <c r="G127" s="342"/>
      <c r="H127" s="341"/>
      <c r="I127" s="340"/>
      <c r="J127" s="339"/>
      <c r="K127" s="338"/>
      <c r="L127" s="338"/>
      <c r="M127" s="338"/>
      <c r="N127" s="338"/>
    </row>
    <row r="128" spans="1:14" ht="12.75">
      <c r="A128" s="344"/>
      <c r="B128" s="343"/>
      <c r="C128" s="343"/>
      <c r="D128" s="343"/>
      <c r="E128" s="343"/>
      <c r="F128" s="343"/>
      <c r="G128" s="342"/>
      <c r="H128" s="341"/>
      <c r="I128" s="340"/>
      <c r="J128" s="339"/>
      <c r="K128" s="338"/>
      <c r="L128" s="338"/>
      <c r="M128" s="338"/>
      <c r="N128" s="338"/>
    </row>
    <row r="129" spans="1:14" ht="12.75">
      <c r="A129" s="344"/>
      <c r="B129" s="343"/>
      <c r="C129" s="343"/>
      <c r="D129" s="343"/>
      <c r="E129" s="343"/>
      <c r="F129" s="343"/>
      <c r="G129" s="342"/>
      <c r="H129" s="341"/>
      <c r="I129" s="340"/>
      <c r="J129" s="339"/>
      <c r="K129" s="338"/>
      <c r="L129" s="338"/>
      <c r="M129" s="338"/>
      <c r="N129" s="338"/>
    </row>
    <row r="130" spans="1:14" ht="12.75">
      <c r="A130" s="344"/>
      <c r="B130" s="343"/>
      <c r="C130" s="343"/>
      <c r="D130" s="343"/>
      <c r="E130" s="343"/>
      <c r="F130" s="343"/>
      <c r="G130" s="342"/>
      <c r="H130" s="341"/>
      <c r="I130" s="340"/>
      <c r="J130" s="339"/>
      <c r="K130" s="338"/>
      <c r="L130" s="338"/>
      <c r="M130" s="338"/>
      <c r="N130" s="338"/>
    </row>
    <row r="131" spans="1:14" ht="12.75">
      <c r="A131" s="344"/>
      <c r="B131" s="343"/>
      <c r="C131" s="343"/>
      <c r="D131" s="343"/>
      <c r="E131" s="343"/>
      <c r="F131" s="343"/>
      <c r="G131" s="342"/>
      <c r="H131" s="341"/>
      <c r="I131" s="340"/>
      <c r="J131" s="339"/>
      <c r="K131" s="338"/>
      <c r="L131" s="338"/>
      <c r="M131" s="338"/>
      <c r="N131" s="338"/>
    </row>
    <row r="132" spans="1:14" ht="12.75">
      <c r="A132" s="344"/>
      <c r="B132" s="343"/>
      <c r="C132" s="343"/>
      <c r="D132" s="343"/>
      <c r="E132" s="343"/>
      <c r="F132" s="343"/>
      <c r="G132" s="342"/>
      <c r="H132" s="341"/>
      <c r="I132" s="340"/>
      <c r="J132" s="339"/>
      <c r="K132" s="338"/>
      <c r="L132" s="338"/>
      <c r="M132" s="338"/>
      <c r="N132" s="338"/>
    </row>
    <row r="133" spans="1:14" ht="12.75">
      <c r="A133" s="344"/>
      <c r="B133" s="343"/>
      <c r="C133" s="343"/>
      <c r="D133" s="343"/>
      <c r="E133" s="343"/>
      <c r="F133" s="343"/>
      <c r="G133" s="342"/>
      <c r="H133" s="341"/>
      <c r="I133" s="340"/>
      <c r="J133" s="339"/>
      <c r="K133" s="338"/>
      <c r="L133" s="338"/>
      <c r="M133" s="338"/>
      <c r="N133" s="338"/>
    </row>
    <row r="134" spans="1:14" ht="12.75">
      <c r="A134" s="344"/>
      <c r="B134" s="343"/>
      <c r="C134" s="343"/>
      <c r="D134" s="343"/>
      <c r="E134" s="343"/>
      <c r="F134" s="343"/>
      <c r="G134" s="342"/>
      <c r="H134" s="341"/>
      <c r="I134" s="340"/>
      <c r="J134" s="339"/>
      <c r="K134" s="338"/>
      <c r="L134" s="338"/>
      <c r="M134" s="338"/>
      <c r="N134" s="338"/>
    </row>
    <row r="135" spans="1:14" ht="12.75">
      <c r="A135" s="344"/>
      <c r="B135" s="343"/>
      <c r="C135" s="343"/>
      <c r="D135" s="343"/>
      <c r="E135" s="343"/>
      <c r="F135" s="343"/>
      <c r="G135" s="342"/>
      <c r="H135" s="341"/>
      <c r="I135" s="340"/>
      <c r="J135" s="339"/>
      <c r="K135" s="338"/>
      <c r="L135" s="338"/>
      <c r="M135" s="338"/>
      <c r="N135" s="338"/>
    </row>
    <row r="136" spans="1:14" ht="12.75">
      <c r="A136" s="344"/>
      <c r="B136" s="343"/>
      <c r="C136" s="343"/>
      <c r="D136" s="343"/>
      <c r="E136" s="343"/>
      <c r="F136" s="343"/>
      <c r="G136" s="342"/>
      <c r="H136" s="341"/>
      <c r="I136" s="340"/>
      <c r="J136" s="339"/>
      <c r="K136" s="338"/>
      <c r="L136" s="338"/>
      <c r="M136" s="338"/>
      <c r="N136" s="338"/>
    </row>
    <row r="137" spans="1:14" ht="12.75">
      <c r="A137" s="344"/>
      <c r="B137" s="343"/>
      <c r="C137" s="343"/>
      <c r="D137" s="343"/>
      <c r="E137" s="343"/>
      <c r="F137" s="343"/>
      <c r="G137" s="342"/>
      <c r="H137" s="341"/>
      <c r="I137" s="340"/>
      <c r="J137" s="339"/>
      <c r="K137" s="338"/>
      <c r="L137" s="338"/>
      <c r="M137" s="338"/>
      <c r="N137" s="338"/>
    </row>
    <row r="138" spans="1:14" ht="12.75">
      <c r="A138" s="344"/>
      <c r="B138" s="343"/>
      <c r="C138" s="343"/>
      <c r="D138" s="343"/>
      <c r="E138" s="343"/>
      <c r="F138" s="343"/>
      <c r="G138" s="342"/>
      <c r="H138" s="341"/>
      <c r="I138" s="340"/>
      <c r="J138" s="339"/>
      <c r="K138" s="338"/>
      <c r="L138" s="338"/>
      <c r="M138" s="338"/>
      <c r="N138" s="338"/>
    </row>
    <row r="139" spans="1:14" ht="12.75">
      <c r="A139" s="344"/>
      <c r="B139" s="343"/>
      <c r="C139" s="343"/>
      <c r="D139" s="343"/>
      <c r="E139" s="343"/>
      <c r="F139" s="343"/>
      <c r="G139" s="342"/>
      <c r="H139" s="341"/>
      <c r="I139" s="340"/>
      <c r="J139" s="339"/>
      <c r="K139" s="338"/>
      <c r="L139" s="338"/>
      <c r="M139" s="338"/>
      <c r="N139" s="338"/>
    </row>
    <row r="140" spans="1:14" ht="12.75">
      <c r="A140" s="344"/>
      <c r="B140" s="343"/>
      <c r="C140" s="343"/>
      <c r="D140" s="343"/>
      <c r="E140" s="343"/>
      <c r="F140" s="343"/>
      <c r="G140" s="342"/>
      <c r="H140" s="341"/>
      <c r="I140" s="340"/>
      <c r="J140" s="339"/>
      <c r="K140" s="338"/>
      <c r="L140" s="338"/>
      <c r="M140" s="338"/>
      <c r="N140" s="338"/>
    </row>
    <row r="141" spans="1:14" ht="12.75">
      <c r="A141" s="344"/>
      <c r="B141" s="343"/>
      <c r="C141" s="343"/>
      <c r="D141" s="343"/>
      <c r="E141" s="343"/>
      <c r="F141" s="343"/>
      <c r="G141" s="342"/>
      <c r="H141" s="341"/>
      <c r="I141" s="340"/>
      <c r="J141" s="339"/>
      <c r="K141" s="338"/>
      <c r="L141" s="338"/>
      <c r="M141" s="338"/>
      <c r="N141" s="338"/>
    </row>
    <row r="142" spans="1:14" ht="12.75">
      <c r="A142" s="344"/>
      <c r="B142" s="343"/>
      <c r="C142" s="343"/>
      <c r="D142" s="343"/>
      <c r="E142" s="343"/>
      <c r="F142" s="343"/>
      <c r="G142" s="342"/>
      <c r="H142" s="341"/>
      <c r="I142" s="340"/>
      <c r="J142" s="339"/>
      <c r="K142" s="338"/>
      <c r="L142" s="338"/>
      <c r="M142" s="338"/>
      <c r="N142" s="338"/>
    </row>
    <row r="143" spans="1:14" ht="12.75">
      <c r="A143" s="344"/>
      <c r="B143" s="343"/>
      <c r="C143" s="343"/>
      <c r="D143" s="343"/>
      <c r="E143" s="343"/>
      <c r="F143" s="343"/>
      <c r="G143" s="342"/>
      <c r="H143" s="341"/>
      <c r="I143" s="340"/>
      <c r="J143" s="339"/>
      <c r="K143" s="338"/>
      <c r="L143" s="338"/>
      <c r="M143" s="338"/>
      <c r="N143" s="338"/>
    </row>
    <row r="144" spans="1:14" ht="12.75">
      <c r="A144" s="344"/>
      <c r="B144" s="343"/>
      <c r="C144" s="343"/>
      <c r="D144" s="343"/>
      <c r="E144" s="343"/>
      <c r="F144" s="343"/>
      <c r="G144" s="342"/>
      <c r="H144" s="341"/>
      <c r="I144" s="340"/>
      <c r="J144" s="339"/>
      <c r="K144" s="338"/>
      <c r="L144" s="338"/>
      <c r="M144" s="338"/>
      <c r="N144" s="338"/>
    </row>
    <row r="145" spans="1:14" ht="12.75">
      <c r="A145" s="344"/>
      <c r="B145" s="343"/>
      <c r="C145" s="343"/>
      <c r="D145" s="343"/>
      <c r="E145" s="343"/>
      <c r="F145" s="343"/>
      <c r="G145" s="342"/>
      <c r="H145" s="341"/>
      <c r="I145" s="340"/>
      <c r="J145" s="339"/>
      <c r="K145" s="338"/>
      <c r="L145" s="338"/>
      <c r="M145" s="338"/>
      <c r="N145" s="338"/>
    </row>
    <row r="146" spans="1:14" ht="12.75">
      <c r="A146" s="344"/>
      <c r="B146" s="343"/>
      <c r="C146" s="343"/>
      <c r="D146" s="343"/>
      <c r="E146" s="343"/>
      <c r="F146" s="343"/>
      <c r="G146" s="342"/>
      <c r="H146" s="341"/>
      <c r="I146" s="340"/>
      <c r="J146" s="339"/>
      <c r="K146" s="338"/>
      <c r="L146" s="338"/>
      <c r="M146" s="338"/>
      <c r="N146" s="338"/>
    </row>
    <row r="147" spans="1:14" ht="12.75">
      <c r="A147" s="344"/>
      <c r="B147" s="343"/>
      <c r="C147" s="343"/>
      <c r="D147" s="343"/>
      <c r="E147" s="343"/>
      <c r="F147" s="343"/>
      <c r="G147" s="342"/>
      <c r="H147" s="341"/>
      <c r="I147" s="340"/>
      <c r="J147" s="339"/>
      <c r="K147" s="338"/>
      <c r="L147" s="338"/>
      <c r="M147" s="338"/>
      <c r="N147" s="338"/>
    </row>
    <row r="148" spans="1:14" ht="12.75">
      <c r="A148" s="344"/>
      <c r="B148" s="343"/>
      <c r="C148" s="343"/>
      <c r="D148" s="343"/>
      <c r="E148" s="343"/>
      <c r="F148" s="343"/>
      <c r="G148" s="342"/>
      <c r="H148" s="341"/>
      <c r="I148" s="340"/>
      <c r="J148" s="339"/>
      <c r="K148" s="338"/>
      <c r="L148" s="338"/>
      <c r="M148" s="338"/>
      <c r="N148" s="338"/>
    </row>
    <row r="149" spans="1:14" ht="12.75">
      <c r="A149" s="344"/>
      <c r="B149" s="343"/>
      <c r="C149" s="343"/>
      <c r="D149" s="343"/>
      <c r="E149" s="343"/>
      <c r="F149" s="343"/>
      <c r="G149" s="342"/>
      <c r="H149" s="341"/>
      <c r="I149" s="340"/>
      <c r="J149" s="339"/>
      <c r="K149" s="338"/>
      <c r="L149" s="338"/>
      <c r="M149" s="338"/>
      <c r="N149" s="338"/>
    </row>
    <row r="150" spans="1:14" ht="12.75">
      <c r="A150" s="344"/>
      <c r="B150" s="343"/>
      <c r="C150" s="343"/>
      <c r="D150" s="343"/>
      <c r="E150" s="343"/>
      <c r="F150" s="343"/>
      <c r="G150" s="342"/>
      <c r="H150" s="341"/>
      <c r="I150" s="340"/>
      <c r="J150" s="339"/>
      <c r="K150" s="338"/>
      <c r="L150" s="338"/>
      <c r="M150" s="338"/>
      <c r="N150" s="338"/>
    </row>
    <row r="151" spans="1:14" ht="12.75">
      <c r="A151" s="344"/>
      <c r="B151" s="343"/>
      <c r="C151" s="343"/>
      <c r="D151" s="343"/>
      <c r="E151" s="343"/>
      <c r="F151" s="343"/>
      <c r="G151" s="342"/>
      <c r="H151" s="341"/>
      <c r="I151" s="340"/>
      <c r="J151" s="339"/>
      <c r="K151" s="338"/>
      <c r="L151" s="338"/>
      <c r="M151" s="338"/>
      <c r="N151" s="338"/>
    </row>
    <row r="152" spans="1:14" ht="12.75">
      <c r="A152" s="344"/>
      <c r="B152" s="343"/>
      <c r="C152" s="343"/>
      <c r="D152" s="343"/>
      <c r="E152" s="343"/>
      <c r="F152" s="343"/>
      <c r="G152" s="342"/>
      <c r="H152" s="341"/>
      <c r="I152" s="340"/>
      <c r="J152" s="339"/>
      <c r="K152" s="338"/>
      <c r="L152" s="338"/>
      <c r="M152" s="338"/>
      <c r="N152" s="338"/>
    </row>
    <row r="153" spans="1:14" ht="12.75">
      <c r="A153" s="344"/>
      <c r="B153" s="343"/>
      <c r="C153" s="343"/>
      <c r="D153" s="343"/>
      <c r="E153" s="343"/>
      <c r="F153" s="343"/>
      <c r="G153" s="342"/>
      <c r="H153" s="341"/>
      <c r="I153" s="340"/>
      <c r="J153" s="339"/>
      <c r="K153" s="338"/>
      <c r="L153" s="338"/>
      <c r="M153" s="338"/>
      <c r="N153" s="338"/>
    </row>
    <row r="154" spans="1:14" ht="12.75">
      <c r="A154" s="337"/>
      <c r="B154" s="336"/>
      <c r="C154" s="336"/>
      <c r="D154" s="336"/>
      <c r="E154" s="336"/>
      <c r="F154" s="336"/>
      <c r="G154" s="335"/>
      <c r="H154" s="334"/>
      <c r="I154" s="340"/>
      <c r="J154" s="339"/>
      <c r="K154" s="338"/>
      <c r="L154" s="338"/>
      <c r="M154" s="338"/>
      <c r="N154" s="338"/>
    </row>
    <row r="155" spans="1:14" ht="12.75">
      <c r="A155" s="337"/>
      <c r="B155" s="336"/>
      <c r="C155" s="336"/>
      <c r="D155" s="336"/>
      <c r="E155" s="336"/>
      <c r="F155" s="336"/>
      <c r="G155" s="335"/>
      <c r="H155" s="334"/>
      <c r="I155" s="340"/>
      <c r="J155" s="339"/>
      <c r="K155" s="338"/>
      <c r="L155" s="338"/>
      <c r="M155" s="338"/>
      <c r="N155" s="338"/>
    </row>
    <row r="156" spans="1:14" ht="12.75">
      <c r="A156" s="337"/>
      <c r="B156" s="336"/>
      <c r="C156" s="336"/>
      <c r="D156" s="336"/>
      <c r="E156" s="336"/>
      <c r="F156" s="336"/>
      <c r="G156" s="335"/>
      <c r="H156" s="334"/>
      <c r="I156" s="340"/>
      <c r="J156" s="339"/>
      <c r="K156" s="338"/>
      <c r="L156" s="338"/>
      <c r="M156" s="338"/>
      <c r="N156" s="338"/>
    </row>
    <row r="157" spans="1:14" ht="12.75">
      <c r="A157" s="344"/>
      <c r="B157" s="343"/>
      <c r="C157" s="343"/>
      <c r="D157" s="343"/>
      <c r="E157" s="343"/>
      <c r="F157" s="343"/>
      <c r="G157" s="342"/>
      <c r="H157" s="341"/>
      <c r="I157" s="340"/>
      <c r="J157" s="339"/>
      <c r="K157" s="338"/>
      <c r="L157" s="338"/>
      <c r="M157" s="338"/>
      <c r="N157" s="338"/>
    </row>
    <row r="158" spans="1:14" ht="15">
      <c r="A158" s="337"/>
      <c r="B158" s="336"/>
      <c r="C158" s="336"/>
      <c r="D158" s="336"/>
      <c r="E158" s="336"/>
      <c r="F158" s="336"/>
      <c r="G158" s="335"/>
      <c r="H158" s="334"/>
      <c r="I158" s="333"/>
      <c r="J158" s="332"/>
      <c r="K158" s="332"/>
      <c r="L158" s="332"/>
      <c r="M158" s="332"/>
      <c r="N158" s="332"/>
    </row>
    <row r="159" spans="1:14" ht="15">
      <c r="A159" s="337"/>
      <c r="B159" s="336"/>
      <c r="C159" s="336"/>
      <c r="D159" s="336"/>
      <c r="E159" s="336"/>
      <c r="F159" s="336"/>
      <c r="G159" s="335"/>
      <c r="H159" s="334"/>
      <c r="I159" s="333"/>
      <c r="J159" s="332"/>
      <c r="K159" s="331"/>
      <c r="L159" s="331"/>
      <c r="M159" s="331"/>
      <c r="N159" s="331"/>
    </row>
    <row r="160" spans="1:14" ht="15">
      <c r="A160" s="337"/>
      <c r="B160" s="336"/>
      <c r="C160" s="336"/>
      <c r="D160" s="336"/>
      <c r="E160" s="336"/>
      <c r="F160" s="336"/>
      <c r="G160" s="335"/>
      <c r="H160" s="334"/>
      <c r="I160" s="333"/>
      <c r="J160" s="332"/>
      <c r="K160" s="331"/>
      <c r="L160" s="331"/>
      <c r="M160" s="331"/>
      <c r="N160" s="331"/>
    </row>
    <row r="161" spans="1:14" ht="12.75">
      <c r="A161" s="507" t="s">
        <v>428</v>
      </c>
      <c r="B161" s="645"/>
      <c r="C161" s="645"/>
      <c r="D161" s="645"/>
      <c r="E161" s="645"/>
      <c r="F161" s="645"/>
      <c r="G161" s="645"/>
      <c r="H161" s="645"/>
      <c r="I161" s="330"/>
      <c r="J161" s="330"/>
      <c r="K161" s="330"/>
      <c r="L161" s="330"/>
      <c r="M161" s="330"/>
      <c r="N161" s="330"/>
    </row>
  </sheetData>
  <sheetProtection algorithmName="SHA-512" hashValue="3waSHhWQmpkIBcRmmx/qCWwuEGom2vtBl0sCgLQ03OOPlk6tzqJaXyAi3sM5c7GgNxodVw8paB8lwBldx/pdEg==" saltValue="LieABLNHZtsoGFG3lIi0ww==" spinCount="100000" sheet="1" objects="1" scenarios="1"/>
  <mergeCells count="8">
    <mergeCell ref="B7:D7"/>
    <mergeCell ref="A161:H161"/>
    <mergeCell ref="F7:H7"/>
    <mergeCell ref="J1:N3"/>
    <mergeCell ref="A4:H5"/>
    <mergeCell ref="F1:H2"/>
    <mergeCell ref="F3:H3"/>
    <mergeCell ref="A6:B6"/>
  </mergeCells>
  <conditionalFormatting sqref="J1">
    <cfRule type="cellIs" priority="1" dxfId="2" operator="equal">
      <formula>"NextGen eOrder"</formula>
    </cfRule>
    <cfRule type="cellIs" priority="2" dxfId="1" operator="equal">
      <formula>"Director eOrder"</formula>
    </cfRule>
    <cfRule type="containsText" priority="3" dxfId="0" operator="containsText" text="NextGen">
      <formula>NOT(ISERROR(SEARCH("NextGen",J1)))</formula>
    </cfRule>
  </conditionalFormatting>
  <dataValidations count="5">
    <dataValidation errorStyle="warning" type="list" allowBlank="1" showInputMessage="1" showErrorMessage="1" promptTitle="Qtanium Connect" prompt="Customers will be charged:_x000a_- $5/month per vehicle for NW_x000a_- $10/month per vehicle for OEM" errorTitle="Safety Analytics" error="Please select option from the drop down list._x000a__x000a_If &quot;Yes&quot; is selected, Customers will be charged:_x000a_- $5/month per vehicle for NW_x000a_- $10/month per vehicle for OEM" sqref="N12:N67 N69:N157">
      <formula1>$B$163:$B$165</formula1>
    </dataValidation>
    <dataValidation errorStyle="warning" type="list" allowBlank="1" showInputMessage="1" showErrorMessage="1" promptTitle="HD Data" prompt="Please select option from the drop down list." errorTitle="HD Data" error="Please select option from the drop down list." sqref="M12:M67 M69:M157">
      <formula1>$A$163:$A$165</formula1>
    </dataValidation>
    <dataValidation errorStyle="warning" type="list" allowBlank="1" showInputMessage="1" showErrorMessage="1" promptTitle="Safety Analytics" prompt="Customers will be charged $10/month per vehicle, unless otherwise advised" errorTitle="Safety Analytics" error="Please select option from the drop down list._x000a__x000a_If &quot;Yes&quot; is selected, the Customer will be charged $10/month per vehicle, unless otherwise advised." sqref="L12:L67 L69:L157">
      <formula1>$A$163:$A$165</formula1>
    </dataValidation>
    <dataValidation errorStyle="warning" type="list" allowBlank="1" showInputMessage="1" showErrorMessage="1" promptTitle="FBT Reporting" prompt="Customers will be charged $10/month per vehicle, unless otherwise advised" errorTitle="FBT Reporting" error="Please select option from the drop down list._x000a__x000a_If &quot;Yes&quot; is selected, the Customer will be charged $10/month per vehicle, unless otherwise advised." sqref="K12:K67 K69:K157">
      <formula1>$A$163:$A$165</formula1>
    </dataValidation>
    <dataValidation type="list" allowBlank="1" showInputMessage="1" showErrorMessage="1" sqref="I12:I67 I69:I157">
      <formula1>$R$14:$R$16</formula1>
    </dataValidation>
  </dataValidations>
  <pageMargins left="0.7" right="0.7" top="0.75" bottom="0.75" header="0.3" footer="0.3"/>
  <pageSetup orientation="portrait"/>
  <headerFooter alignWithMargins="0"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889060E8704D88981B91DAEA6FC5" ma:contentTypeVersion="18" ma:contentTypeDescription="Create a new document." ma:contentTypeScope="" ma:versionID="f9dab5bd62f98e97eb3fb28e1dd6f1cd">
  <xsd:schema xmlns:xsd="http://www.w3.org/2001/XMLSchema" xmlns:xs="http://www.w3.org/2001/XMLSchema" xmlns:p="http://schemas.microsoft.com/office/2006/metadata/properties" xmlns:ns3="44ff621a-e70c-4ffa-b063-2ad0a7d2a273" xmlns:ns4="1e366d1b-4924-41fa-beaf-80524dce2aea" targetNamespace="http://schemas.microsoft.com/office/2006/metadata/properties" ma:root="true" ma:fieldsID="1b7f5ee2e3e62084ded3278ddf9839dd" ns3:_="" ns4:_="">
    <xsd:import namespace="44ff621a-e70c-4ffa-b063-2ad0a7d2a273"/>
    <xsd:import namespace="1e366d1b-4924-41fa-beaf-80524dce2ae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f621a-e70c-4ffa-b063-2ad0a7d2a2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66d1b-4924-41fa-beaf-80524dce2a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ff621a-e70c-4ffa-b063-2ad0a7d2a273" xsi:nil="true"/>
  </documentManagement>
</p:properties>
</file>

<file path=customXml/itemProps1.xml><?xml version="1.0" encoding="utf-8"?>
<ds:datastoreItem xmlns:ds="http://schemas.openxmlformats.org/officeDocument/2006/customXml" ds:itemID="{B7F29114-361D-4E40-B31A-874C14059C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ff621a-e70c-4ffa-b063-2ad0a7d2a273"/>
    <ds:schemaRef ds:uri="1e366d1b-4924-41fa-beaf-80524dce2a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AFE30E-5FAE-4EAE-81D1-FE28749EEE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98B2D7-76B0-4833-8268-570110733096}">
  <ds:schemaRefs>
    <ds:schemaRef ds:uri="http://purl.org/dc/dcmitype/"/>
    <ds:schemaRef ds:uri="1e366d1b-4924-41fa-beaf-80524dce2aea"/>
    <ds:schemaRef ds:uri="44ff621a-e70c-4ffa-b063-2ad0a7d2a273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Template/>
  <Manager/>
  <Company>Talon Technology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satisfied Microsoft Office User</dc:creator>
  <cp:keywords/>
  <dc:description/>
  <cp:lastModifiedBy>Anna Lehmann</cp:lastModifiedBy>
  <cp:lastPrinted>2018-07-17T22:53:05Z</cp:lastPrinted>
  <dcterms:created xsi:type="dcterms:W3CDTF">2001-07-03T11:43:21Z</dcterms:created>
  <dcterms:modified xsi:type="dcterms:W3CDTF">2024-03-18T20:38:07Z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0x01010016EA889060E8704D88981B91DAEA6FC5</vt:lpwstr>
  </property>
</Properties>
</file>